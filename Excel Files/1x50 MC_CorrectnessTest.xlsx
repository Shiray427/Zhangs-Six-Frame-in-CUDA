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MCread0" sheetId="1" r:id="rId4"/>
    <sheet state="visible" name="2MCread6" sheetId="2" r:id="rId5"/>
    <sheet state="visible" name="3MCread85" sheetId="3" r:id="rId6"/>
    <sheet state="visible" name="4MCread100" sheetId="4" r:id="rId7"/>
    <sheet state="visible" name="6MCread515" sheetId="5" r:id="rId8"/>
    <sheet state="visible" name="5MCread256" sheetId="6" r:id="rId9"/>
    <sheet state="visible" name="7MCread1018" sheetId="7" r:id="rId10"/>
    <sheet state="visible" name="8MCread7557" sheetId="8" r:id="rId11"/>
    <sheet state="visible" name="9MCread25377" sheetId="9" r:id="rId12"/>
    <sheet state="visible" name="10MCread31461" sheetId="10" r:id="rId13"/>
  </sheets>
  <definedNames/>
  <calcPr/>
</workbook>
</file>

<file path=xl/sharedStrings.xml><?xml version="1.0" encoding="utf-8"?>
<sst xmlns="http://schemas.openxmlformats.org/spreadsheetml/2006/main" count="295" uniqueCount="37">
  <si>
    <t>DNA: TGTGCCGACGTAAATGTGATGATTATCAAACCAGGGCGGTGGTAATGGCGCTGATGATCTCAGTCAAGAGTGCTTGTCAGCTTGGATGGTTCCCGGAGAGAGAGACTCAAGAATTGTTGGCTATCATAGACTTGATGTGGAATGGTTTCA</t>
  </si>
  <si>
    <t>&gt;0sp|A0A0A7EPL0|PIAL1_ARATH E4 SUMO-protein ligase PIAL1 OS=Arabidopsis thaliana OX=3702 GN=PIAL1 PE=1 SV=1</t>
  </si>
  <si>
    <t>Sequential</t>
  </si>
  <si>
    <t>Parallel</t>
  </si>
  <si>
    <t>Correctness Test</t>
  </si>
  <si>
    <t>Speedup</t>
  </si>
  <si>
    <t>Protein</t>
  </si>
  <si>
    <t>Length</t>
  </si>
  <si>
    <t>Score</t>
  </si>
  <si>
    <t>s_index</t>
  </si>
  <si>
    <t>e_index</t>
  </si>
  <si>
    <t>Time(in ms)</t>
  </si>
  <si>
    <t>Top Score</t>
  </si>
  <si>
    <t>s_Index</t>
  </si>
  <si>
    <t>AVERAGE</t>
  </si>
  <si>
    <t>Found in</t>
  </si>
  <si>
    <t>MAX</t>
  </si>
  <si>
    <t>MIN</t>
  </si>
  <si>
    <t>DNA: ATCAACAGCATGAAATGAAGCAGACAATGGCAGAGACACAGTATGTGACAGCGCCGCCACCGATGGGTTACCCGGTGATGATGAAAGACTCTCCCCAAACTGTGCAGCCTCCTCATGAGGGTCAGAGCAAAGGCAGTGGTGGATTTTTAC</t>
  </si>
  <si>
    <t xml:space="preserve">&gt;6sp|A0A178WF56|CSTM3_ARATH Protein CYSTEINE-RICH TRANSMEMBRANE MODULE 3 OS=Arabidopsis thaliana OX=3702 GN=CYSTM3 PE=1 SV=1
</t>
  </si>
  <si>
    <t>Time (in sec)</t>
  </si>
  <si>
    <t>DNA: GAAACGGGACGAATTCAACAAGCACGAGCGGTGGTGGCAGCCCTAGTCCTGGTGGTGGTAGTGGCAGCCCCCCTAGCACTGGCGGTGGTAGTGGCAGCCCCCCTAGCACAGGCGGTGGTGGTGGCAGCCCAAGCAAGGGCGGTGGTGGAG</t>
  </si>
  <si>
    <t>&gt;85sp|A5PHT0|Y1448_ARATH Uncharacterized protein At1g24485 OS=Arabidopsis thaliana OX=3702 GN=RWK1 PE=2 SV=2</t>
  </si>
  <si>
    <t>DNA: ATTCCGAAATTTTCAGAAATCACTAAAAGGGAGCATCGTAGCAATGTTTTTGAAGCTGGCGGTTACAAATGGTATATTTTAATTTATCCACAAGGATGTGATGTTTGTAATCATCTCTCCTTGTTTCTCTGTGTTGCAAATTATGATAAA</t>
  </si>
  <si>
    <t xml:space="preserve">&gt;100sp|A8MQL1|TRF1B_ARATH TNF receptor-associated factor homolog 1b OS=Arabidopsis thaliana OX=3702 GN=TRAF1B PE=1 SV=1
</t>
  </si>
  <si>
    <t>DNA: GCCAAAATCATCTCACACATCGTCAAGCGTCTCAAGGACGCCGATAACGGTGTACGCGACGCTTGTCGCGACGCGATTGGTTCTCTCTCTGCGCAGTTTCTGAAGGAGAAGGAAGTAGAGAATGGAAATTATGTTGGGTCTTCGTTGGTG</t>
  </si>
  <si>
    <t>&gt;515sp|F4I6M4|TORL1_ARATH TORTIFOLIA1-like protein 1 OS=Arabidopsis thaliana OX=3702 GN=TOR1L1 PE=2 SV=1</t>
  </si>
  <si>
    <t>DNA: ATGGAGAGAGAACGAAGTAATTTTTTCTTCTTGTTCTTGTTTTGTTCATGGGTCTCCATGGCCCAACCCACTCTTTCTCTTTCATCAGATGGCCAAGCTCTTCTCTCTCTCAAGAGACCATCACCATCACTCTTCTCTTCTTGGGACCCA</t>
  </si>
  <si>
    <t xml:space="preserve">&gt;256sp|C0LGF5|RGI5_ARATH LRR receptor-like serine/threonine-protein kinase RGI5 OS=Arabidopsis thaliana OX=3702 GN=RGI5 PE=1 SV=2
</t>
  </si>
  <si>
    <t>DNA: GTCTGCAAAGCACAAAGGCAAATTGGTGAGACAGCTCTAAATGAAGTTAGCTCCCGGTCTCATCAGATTTTGAGATTGACAGTAGAAAGCATAGCTCGTGAATTTTCTACCAATGATAAGTTTAGTACTCTAACAGCGACAGTGAACTTC</t>
  </si>
  <si>
    <t>&gt;1018sp|F4JZ68|KN7H_ARATH Kinesin-like protein KIN-7H OS=Arabidopsis thaliana OX=3702 GN=KIN7H PE=2 SV=1</t>
  </si>
  <si>
    <t>DNA: GGAATATTCCCAATCTTCCATGTATTCATCTCCAAGTTCTTGGAGCTCATCACAAGAATCACTCTTATGGAACGAGAGCTGTTTCTTGGATCAATCATCTGAACCTCAAGCCTTCTTTTGCCCTAATTATGATTACTCCGATGACTTTTT</t>
  </si>
  <si>
    <t>&gt;7557sp|Q8VYM0|ERF93_ARATH Ethylene-responsive transcription factor 15 OS=Arabidopsis thaliana OX=3702 GN=ERF15 PE=2 SV=1</t>
  </si>
  <si>
    <t>DNA: GAAGATGCTAACAAGGTTGGCAGAATCCAAGTTATCGCTTTCCAGTCTTCTGATGGAAAGCCGAATAGTATTCCTAAATCAATGAGCCTGGTTCTTGCAAATAAAGATTCTGTTATCGATTTAGAATCTTCATTTAGTTCTTCGGACTCG</t>
  </si>
  <si>
    <t>&gt;25377tr|B3H5T3|B3H5T3_ARATH Mov34/MPN/PAD-1 family protein OS=Arabidopsis thaliana OX=3702 GN=BRCC36A PE=1 SV=1</t>
  </si>
  <si>
    <t>DNA: GAAGAAGCTCTCAAGCTTGTACAAACTCTATCTCCTTTAATACCTATGCCACCAAGGCATGAGAAAGAAATGCAAGGAAGTGAAGTTTATGAAGAGAGATTGAGAAACAAGAAACTAAACAAGCTGGTGGAAGCTGGATTTGCTTGTTAA</t>
  </si>
  <si>
    <t>&gt;31461tr|O82219|O82219_ARATH At2g23910 OS=Arabidopsis thaliana OX=3702 GN=At2g23910 PE=1 SV=2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</si>
</sst>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color theme="1"/>
      <name val="Arial"/>
    </font>
    <font>
      <b/>
      <sz val="11.0"/>
      <color rgb="FF000000"/>
      <name val="&quot;Aptos Narrow&quot;"/>
    </font>
    <font>
      <b/>
      <sz val="11.0"/>
      <color rgb="FF000000"/>
      <name val="Arial"/>
    </font>
    <font>
      <b/>
      <color theme="1"/>
      <name val="Arial"/>
    </font>
    <font>
      <sz val="11.0"/>
      <color rgb="FF000000"/>
      <name val="&quot;Aptos Narrow&quot;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B5EC"/>
        <bgColor rgb="FFFFB5EC"/>
      </patternFill>
    </fill>
    <fill>
      <patternFill patternType="solid">
        <fgColor rgb="FFC8B5FF"/>
        <bgColor rgb="FFC8B5FF"/>
      </patternFill>
    </fill>
    <fill>
      <patternFill patternType="solid">
        <fgColor rgb="FFFFEED6"/>
        <bgColor rgb="FFFFEED6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1"/>
    </xf>
    <xf borderId="0" fillId="0" fontId="2" numFmtId="0" xfId="0" applyFont="1"/>
    <xf borderId="0" fillId="0" fontId="3" numFmtId="0" xfId="0" applyAlignment="1" applyFont="1">
      <alignment readingOrder="0" shrinkToFit="0" vertical="bottom" wrapText="1"/>
    </xf>
    <xf borderId="0" fillId="2" fontId="4" numFmtId="0" xfId="0" applyAlignment="1" applyFill="1" applyFont="1">
      <alignment horizontal="center" readingOrder="0" shrinkToFit="0" vertical="bottom" wrapText="0"/>
    </xf>
    <xf borderId="0" fillId="0" fontId="3" numFmtId="0" xfId="0" applyAlignment="1" applyFont="1">
      <alignment horizontal="center"/>
    </xf>
    <xf borderId="0" fillId="3" fontId="4" numFmtId="0" xfId="0" applyAlignment="1" applyFill="1" applyFont="1">
      <alignment horizontal="center" readingOrder="0" shrinkToFit="0" vertical="bottom" wrapText="0"/>
    </xf>
    <xf borderId="0" fillId="4" fontId="5" numFmtId="0" xfId="0" applyAlignment="1" applyFill="1" applyFont="1">
      <alignment horizontal="center" vertical="bottom"/>
    </xf>
    <xf borderId="0" fillId="0" fontId="6" numFmtId="0" xfId="0" applyAlignment="1" applyFont="1">
      <alignment vertical="bottom"/>
    </xf>
    <xf borderId="0" fillId="5" fontId="5" numFmtId="0" xfId="0" applyAlignment="1" applyFill="1" applyFont="1">
      <alignment horizontal="center" vertical="bottom"/>
    </xf>
    <xf borderId="0" fillId="0" fontId="7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5" fontId="5" numFmtId="0" xfId="0" applyAlignment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horizontal="right" vertical="bottom"/>
    </xf>
    <xf borderId="0" fillId="0" fontId="1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'1MCread0'!$S$3:$S$53</c:f>
            </c:numRef>
          </c:xVal>
          <c:yVal>
            <c:numRef>
              <c:f>'1MCread0'!$T$3:$T$53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737197"/>
        <c:axId val="161739514"/>
      </c:scatterChart>
      <c:valAx>
        <c:axId val="13487371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739514"/>
      </c:valAx>
      <c:valAx>
        <c:axId val="161739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87371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'2MCread6'!$S$3:$S$53</c:f>
            </c:numRef>
          </c:xVal>
          <c:yVal>
            <c:numRef>
              <c:f>'2MCread6'!$T$3:$T$53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917956"/>
        <c:axId val="1626788280"/>
      </c:scatterChart>
      <c:valAx>
        <c:axId val="3479179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6788280"/>
      </c:valAx>
      <c:valAx>
        <c:axId val="16267882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79179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'3MCread85'!$S$3:$S$53</c:f>
            </c:numRef>
          </c:xVal>
          <c:yVal>
            <c:numRef>
              <c:f>'3MCread85'!$T$3:$T$53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3462486"/>
        <c:axId val="1479828960"/>
      </c:scatterChart>
      <c:valAx>
        <c:axId val="19434624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9828960"/>
      </c:valAx>
      <c:valAx>
        <c:axId val="14798289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34624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'4MCread100'!$S$3:$S$53</c:f>
            </c:numRef>
          </c:xVal>
          <c:yVal>
            <c:numRef>
              <c:f>'4MCread100'!$T$3:$T$53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117530"/>
        <c:axId val="820662361"/>
      </c:scatterChart>
      <c:valAx>
        <c:axId val="6971175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0662361"/>
      </c:valAx>
      <c:valAx>
        <c:axId val="8206623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71175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'6MCread515'!$S$3:$S$53</c:f>
            </c:numRef>
          </c:xVal>
          <c:yVal>
            <c:numRef>
              <c:f>'6MCread515'!$T$3:$T$53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5915742"/>
        <c:axId val="2126508570"/>
      </c:scatterChart>
      <c:valAx>
        <c:axId val="8759157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6508570"/>
      </c:valAx>
      <c:valAx>
        <c:axId val="21265085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9157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'5MCread256'!$S$3:$S$53</c:f>
            </c:numRef>
          </c:xVal>
          <c:yVal>
            <c:numRef>
              <c:f>'5MCread256'!$T$3:$T$53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0902343"/>
        <c:axId val="153930275"/>
      </c:scatterChart>
      <c:valAx>
        <c:axId val="17709023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930275"/>
      </c:valAx>
      <c:valAx>
        <c:axId val="1539302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09023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'7MCread1018'!$S$3:$S$53</c:f>
            </c:numRef>
          </c:xVal>
          <c:yVal>
            <c:numRef>
              <c:f>'7MCread1018'!$T$3:$T$53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757536"/>
        <c:axId val="178343145"/>
      </c:scatterChart>
      <c:valAx>
        <c:axId val="7987575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343145"/>
      </c:valAx>
      <c:valAx>
        <c:axId val="178343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87575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'8MCread7557'!$S$3:$S$53</c:f>
            </c:numRef>
          </c:xVal>
          <c:yVal>
            <c:numRef>
              <c:f>'8MCread7557'!$T$3:$T$53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332471"/>
        <c:axId val="272203720"/>
      </c:scatterChart>
      <c:valAx>
        <c:axId val="11453324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2203720"/>
      </c:valAx>
      <c:valAx>
        <c:axId val="2722037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53324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'9MCread25377'!$S$3:$S$53</c:f>
            </c:numRef>
          </c:xVal>
          <c:yVal>
            <c:numRef>
              <c:f>'9MCread25377'!$T$3:$T$53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56939"/>
        <c:axId val="278344656"/>
      </c:scatterChart>
      <c:valAx>
        <c:axId val="1851569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8344656"/>
      </c:valAx>
      <c:valAx>
        <c:axId val="2783446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1569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'10MCread31461'!$S$3:$S$53</c:f>
            </c:numRef>
          </c:xVal>
          <c:yVal>
            <c:numRef>
              <c:f>'10MCread31461'!$T$3:$T$53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886037"/>
        <c:axId val="909267531"/>
      </c:scatterChart>
      <c:valAx>
        <c:axId val="3438860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9267531"/>
      </c:valAx>
      <c:valAx>
        <c:axId val="9092675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38860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409575</xdr:colOff>
      <xdr:row>7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266700</xdr:colOff>
      <xdr:row>6</xdr:row>
      <xdr:rowOff>161925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238125</xdr:colOff>
      <xdr:row>6</xdr:row>
      <xdr:rowOff>133350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200025</xdr:colOff>
      <xdr:row>6</xdr:row>
      <xdr:rowOff>171450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180975</xdr:colOff>
      <xdr:row>6</xdr:row>
      <xdr:rowOff>114300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238125</xdr:colOff>
      <xdr:row>6</xdr:row>
      <xdr:rowOff>123825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200025</xdr:colOff>
      <xdr:row>6</xdr:row>
      <xdr:rowOff>104775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219075</xdr:colOff>
      <xdr:row>6</xdr:row>
      <xdr:rowOff>76200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228600</xdr:colOff>
      <xdr:row>6</xdr:row>
      <xdr:rowOff>123825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266700</xdr:colOff>
      <xdr:row>6</xdr:row>
      <xdr:rowOff>152400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0</v>
      </c>
      <c r="J1" s="2"/>
      <c r="K1" s="3" t="s">
        <v>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4" t="s">
        <v>2</v>
      </c>
      <c r="H2" s="5"/>
      <c r="I2" s="6" t="s">
        <v>3</v>
      </c>
      <c r="O2" s="6"/>
      <c r="P2" s="7" t="s">
        <v>4</v>
      </c>
      <c r="S2" s="8"/>
      <c r="T2" s="9" t="s">
        <v>5</v>
      </c>
      <c r="W2" s="2"/>
      <c r="X2" s="2"/>
      <c r="Y2" s="2"/>
      <c r="Z2" s="2"/>
      <c r="AA2" s="2"/>
      <c r="AB2" s="2"/>
      <c r="AC2" s="2"/>
    </row>
    <row r="3">
      <c r="A3" s="10" t="s">
        <v>6</v>
      </c>
      <c r="B3" s="10" t="s">
        <v>7</v>
      </c>
      <c r="C3" s="10" t="s">
        <v>8</v>
      </c>
      <c r="D3" s="10" t="s">
        <v>9</v>
      </c>
      <c r="E3" s="10" t="s">
        <v>10</v>
      </c>
      <c r="F3" s="11" t="s">
        <v>11</v>
      </c>
      <c r="G3" s="11"/>
      <c r="H3" s="12" t="s">
        <v>12</v>
      </c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  <c r="N3" s="11" t="s">
        <v>11</v>
      </c>
      <c r="O3" s="11"/>
      <c r="P3" s="13" t="s">
        <v>8</v>
      </c>
      <c r="Q3" s="13" t="s">
        <v>13</v>
      </c>
      <c r="R3" s="13" t="s">
        <v>10</v>
      </c>
      <c r="S3" s="13" t="s">
        <v>7</v>
      </c>
      <c r="T3" s="14" t="s">
        <v>5</v>
      </c>
      <c r="U3" s="8"/>
      <c r="V3" s="8"/>
      <c r="W3" s="2"/>
      <c r="X3" s="2"/>
      <c r="Y3" s="2"/>
      <c r="Z3" s="2"/>
      <c r="AA3" s="2"/>
      <c r="AB3" s="2"/>
      <c r="AC3" s="2"/>
    </row>
    <row r="4">
      <c r="A4" s="15">
        <v>0.0</v>
      </c>
      <c r="B4" s="15">
        <v>847.0</v>
      </c>
      <c r="C4" s="15">
        <v>260.0</v>
      </c>
      <c r="D4" s="15">
        <v>55.0</v>
      </c>
      <c r="E4" s="15">
        <v>103.0</v>
      </c>
      <c r="F4" s="15">
        <v>711.2696</v>
      </c>
      <c r="G4" s="15"/>
      <c r="H4" s="5">
        <f>MAX(C:C)</f>
        <v>260</v>
      </c>
      <c r="I4" s="15">
        <v>0.0</v>
      </c>
      <c r="J4" s="15">
        <v>847.0</v>
      </c>
      <c r="K4" s="15">
        <v>260.0</v>
      </c>
      <c r="L4" s="15">
        <v>55.0</v>
      </c>
      <c r="M4" s="15">
        <v>103.0</v>
      </c>
      <c r="N4" s="15">
        <v>43.10938</v>
      </c>
      <c r="O4" s="2"/>
      <c r="P4" s="16" t="b">
        <f t="shared" ref="P4:R4" si="1">C4=K4</f>
        <v>1</v>
      </c>
      <c r="Q4" s="16" t="b">
        <f t="shared" si="1"/>
        <v>1</v>
      </c>
      <c r="R4" s="16" t="b">
        <f t="shared" si="1"/>
        <v>1</v>
      </c>
      <c r="S4" s="17">
        <f t="shared" ref="S4:S53" si="3">J4</f>
        <v>847</v>
      </c>
      <c r="T4" s="18">
        <f t="shared" ref="T4:T53" si="4">F4/N4</f>
        <v>16.49918417</v>
      </c>
      <c r="U4" s="19" t="s">
        <v>14</v>
      </c>
      <c r="V4" s="20">
        <f>AVERAGE(T:T)</f>
        <v>8.974245876</v>
      </c>
      <c r="W4" s="2"/>
      <c r="X4" s="2"/>
      <c r="Y4" s="2"/>
      <c r="Z4" s="2"/>
      <c r="AA4" s="2"/>
      <c r="AB4" s="2"/>
      <c r="AC4" s="2"/>
    </row>
    <row r="5">
      <c r="A5" s="15">
        <v>1.0</v>
      </c>
      <c r="B5" s="15">
        <v>473.0</v>
      </c>
      <c r="C5" s="15">
        <v>45.0</v>
      </c>
      <c r="D5" s="15">
        <v>128.0</v>
      </c>
      <c r="E5" s="15">
        <v>162.0</v>
      </c>
      <c r="F5" s="15">
        <v>410.4897</v>
      </c>
      <c r="G5" s="15"/>
      <c r="H5" s="12" t="s">
        <v>15</v>
      </c>
      <c r="I5" s="15">
        <v>1.0</v>
      </c>
      <c r="J5" s="15">
        <v>473.0</v>
      </c>
      <c r="K5" s="15">
        <v>45.0</v>
      </c>
      <c r="L5" s="15">
        <v>128.0</v>
      </c>
      <c r="M5" s="15">
        <v>162.0</v>
      </c>
      <c r="N5" s="15">
        <v>39.06266</v>
      </c>
      <c r="O5" s="2"/>
      <c r="P5" s="16" t="b">
        <f t="shared" ref="P5:R5" si="2">C5=K5</f>
        <v>1</v>
      </c>
      <c r="Q5" s="16" t="b">
        <f t="shared" si="2"/>
        <v>1</v>
      </c>
      <c r="R5" s="16" t="b">
        <f t="shared" si="2"/>
        <v>1</v>
      </c>
      <c r="S5" s="17">
        <f t="shared" si="3"/>
        <v>473</v>
      </c>
      <c r="T5" s="18">
        <f t="shared" si="4"/>
        <v>10.50849328</v>
      </c>
      <c r="U5" s="19" t="s">
        <v>16</v>
      </c>
      <c r="V5" s="20">
        <f>max(T:T)</f>
        <v>24.61510611</v>
      </c>
      <c r="W5" s="2"/>
      <c r="X5" s="2"/>
      <c r="Y5" s="2"/>
      <c r="Z5" s="2"/>
      <c r="AA5" s="2"/>
      <c r="AB5" s="2"/>
      <c r="AC5" s="2"/>
    </row>
    <row r="6">
      <c r="A6" s="15">
        <v>2.0</v>
      </c>
      <c r="B6" s="15">
        <v>74.0</v>
      </c>
      <c r="C6" s="15">
        <v>34.0</v>
      </c>
      <c r="D6" s="15">
        <v>15.0</v>
      </c>
      <c r="E6" s="15">
        <v>36.0</v>
      </c>
      <c r="F6" s="15">
        <v>61.8197</v>
      </c>
      <c r="G6" s="15"/>
      <c r="H6" s="5">
        <f t="array" ref="H6">INDEX(A:A, MATCH(H4, C:C, 0))</f>
        <v>0</v>
      </c>
      <c r="I6" s="15">
        <v>2.0</v>
      </c>
      <c r="J6" s="15">
        <v>74.0</v>
      </c>
      <c r="K6" s="15">
        <v>34.0</v>
      </c>
      <c r="L6" s="15">
        <v>15.0</v>
      </c>
      <c r="M6" s="15">
        <v>36.0</v>
      </c>
      <c r="N6" s="15">
        <v>21.27462</v>
      </c>
      <c r="O6" s="2"/>
      <c r="P6" s="16" t="b">
        <f t="shared" ref="P6:R6" si="5">C6=K6</f>
        <v>1</v>
      </c>
      <c r="Q6" s="16" t="b">
        <f t="shared" si="5"/>
        <v>1</v>
      </c>
      <c r="R6" s="16" t="b">
        <f t="shared" si="5"/>
        <v>1</v>
      </c>
      <c r="S6" s="17">
        <f t="shared" si="3"/>
        <v>74</v>
      </c>
      <c r="T6" s="18">
        <f t="shared" si="4"/>
        <v>2.905795732</v>
      </c>
      <c r="U6" s="19" t="s">
        <v>17</v>
      </c>
      <c r="V6" s="20">
        <f>MIN(T:T)</f>
        <v>2.207858207</v>
      </c>
      <c r="W6" s="2"/>
      <c r="X6" s="2"/>
      <c r="Y6" s="2"/>
      <c r="Z6" s="2"/>
      <c r="AA6" s="2"/>
      <c r="AB6" s="2"/>
      <c r="AC6" s="2"/>
    </row>
    <row r="7">
      <c r="A7" s="15">
        <v>3.0</v>
      </c>
      <c r="B7" s="15">
        <v>640.0</v>
      </c>
      <c r="C7" s="15">
        <v>48.0</v>
      </c>
      <c r="D7" s="15">
        <v>267.0</v>
      </c>
      <c r="E7" s="15">
        <v>318.0</v>
      </c>
      <c r="F7" s="15">
        <v>526.3529</v>
      </c>
      <c r="G7" s="15"/>
      <c r="H7" s="5"/>
      <c r="I7" s="15">
        <v>3.0</v>
      </c>
      <c r="J7" s="15">
        <v>640.0</v>
      </c>
      <c r="K7" s="15">
        <v>48.0</v>
      </c>
      <c r="L7" s="15">
        <v>267.0</v>
      </c>
      <c r="M7" s="15">
        <v>318.0</v>
      </c>
      <c r="N7" s="15">
        <v>44.59216</v>
      </c>
      <c r="O7" s="2"/>
      <c r="P7" s="16" t="b">
        <f t="shared" ref="P7:R7" si="6">C7=K7</f>
        <v>1</v>
      </c>
      <c r="Q7" s="16" t="b">
        <f t="shared" si="6"/>
        <v>1</v>
      </c>
      <c r="R7" s="16" t="b">
        <f t="shared" si="6"/>
        <v>1</v>
      </c>
      <c r="S7" s="17">
        <f t="shared" si="3"/>
        <v>640</v>
      </c>
      <c r="T7" s="18">
        <f t="shared" si="4"/>
        <v>11.80370944</v>
      </c>
      <c r="U7" s="8"/>
      <c r="V7" s="8"/>
      <c r="W7" s="2"/>
      <c r="X7" s="2"/>
      <c r="Y7" s="2"/>
      <c r="Z7" s="2"/>
      <c r="AA7" s="2"/>
      <c r="AB7" s="2"/>
      <c r="AC7" s="2"/>
    </row>
    <row r="8">
      <c r="A8" s="15">
        <v>4.0</v>
      </c>
      <c r="B8" s="15">
        <v>362.0</v>
      </c>
      <c r="C8" s="15">
        <v>46.0</v>
      </c>
      <c r="D8" s="15">
        <v>9.0</v>
      </c>
      <c r="E8" s="15">
        <v>44.0</v>
      </c>
      <c r="F8" s="15">
        <v>303.1014</v>
      </c>
      <c r="G8" s="15"/>
      <c r="H8" s="5"/>
      <c r="I8" s="15">
        <v>4.0</v>
      </c>
      <c r="J8" s="15">
        <v>362.0</v>
      </c>
      <c r="K8" s="15">
        <v>46.0</v>
      </c>
      <c r="L8" s="15">
        <v>9.0</v>
      </c>
      <c r="M8" s="15">
        <v>44.0</v>
      </c>
      <c r="N8" s="15">
        <v>32.02327</v>
      </c>
      <c r="O8" s="2"/>
      <c r="P8" s="16" t="b">
        <f t="shared" ref="P8:R8" si="7">C8=K8</f>
        <v>1</v>
      </c>
      <c r="Q8" s="16" t="b">
        <f t="shared" si="7"/>
        <v>1</v>
      </c>
      <c r="R8" s="16" t="b">
        <f t="shared" si="7"/>
        <v>1</v>
      </c>
      <c r="S8" s="17">
        <f t="shared" si="3"/>
        <v>362</v>
      </c>
      <c r="T8" s="18">
        <f t="shared" si="4"/>
        <v>9.465035894</v>
      </c>
      <c r="U8" s="8"/>
      <c r="V8" s="8"/>
      <c r="W8" s="2"/>
      <c r="X8" s="2"/>
      <c r="Y8" s="2"/>
      <c r="Z8" s="2"/>
      <c r="AA8" s="2"/>
      <c r="AB8" s="2"/>
      <c r="AC8" s="2"/>
    </row>
    <row r="9">
      <c r="A9" s="15">
        <v>5.0</v>
      </c>
      <c r="B9" s="15">
        <v>300.0</v>
      </c>
      <c r="C9" s="15">
        <v>53.0</v>
      </c>
      <c r="D9" s="15">
        <v>151.0</v>
      </c>
      <c r="E9" s="15">
        <v>189.0</v>
      </c>
      <c r="F9" s="15">
        <v>249.5601</v>
      </c>
      <c r="G9" s="15"/>
      <c r="H9" s="5"/>
      <c r="I9" s="15">
        <v>5.0</v>
      </c>
      <c r="J9" s="15">
        <v>300.0</v>
      </c>
      <c r="K9" s="15">
        <v>53.0</v>
      </c>
      <c r="L9" s="15">
        <v>151.0</v>
      </c>
      <c r="M9" s="15">
        <v>189.0</v>
      </c>
      <c r="N9" s="15">
        <v>30.89539</v>
      </c>
      <c r="O9" s="2"/>
      <c r="P9" s="16" t="b">
        <f t="shared" ref="P9:R9" si="8">C9=K9</f>
        <v>1</v>
      </c>
      <c r="Q9" s="16" t="b">
        <f t="shared" si="8"/>
        <v>1</v>
      </c>
      <c r="R9" s="16" t="b">
        <f t="shared" si="8"/>
        <v>1</v>
      </c>
      <c r="S9" s="17">
        <f t="shared" si="3"/>
        <v>300</v>
      </c>
      <c r="T9" s="18">
        <f t="shared" si="4"/>
        <v>8.077583743</v>
      </c>
      <c r="U9" s="8"/>
      <c r="V9" s="8"/>
      <c r="W9" s="2"/>
      <c r="X9" s="2"/>
      <c r="Y9" s="2"/>
      <c r="Z9" s="2"/>
      <c r="AA9" s="2"/>
      <c r="AB9" s="2"/>
      <c r="AC9" s="2"/>
    </row>
    <row r="10">
      <c r="A10" s="15">
        <v>6.0</v>
      </c>
      <c r="B10" s="15">
        <v>71.0</v>
      </c>
      <c r="C10" s="15">
        <v>27.0</v>
      </c>
      <c r="D10" s="15">
        <v>43.0</v>
      </c>
      <c r="E10" s="15">
        <v>60.0</v>
      </c>
      <c r="F10" s="15">
        <v>58.9381</v>
      </c>
      <c r="G10" s="15"/>
      <c r="H10" s="5"/>
      <c r="I10" s="15">
        <v>6.0</v>
      </c>
      <c r="J10" s="15">
        <v>71.0</v>
      </c>
      <c r="K10" s="15">
        <v>27.0</v>
      </c>
      <c r="L10" s="15">
        <v>43.0</v>
      </c>
      <c r="M10" s="15">
        <v>60.0</v>
      </c>
      <c r="N10" s="15">
        <v>19.46634</v>
      </c>
      <c r="O10" s="2"/>
      <c r="P10" s="16" t="b">
        <f t="shared" ref="P10:R10" si="9">C10=K10</f>
        <v>1</v>
      </c>
      <c r="Q10" s="16" t="b">
        <f t="shared" si="9"/>
        <v>1</v>
      </c>
      <c r="R10" s="16" t="b">
        <f t="shared" si="9"/>
        <v>1</v>
      </c>
      <c r="S10" s="17">
        <f t="shared" si="3"/>
        <v>71</v>
      </c>
      <c r="T10" s="18">
        <f t="shared" si="4"/>
        <v>3.02769293</v>
      </c>
      <c r="U10" s="8"/>
      <c r="V10" s="8"/>
      <c r="W10" s="2"/>
      <c r="X10" s="2"/>
      <c r="Y10" s="2"/>
      <c r="Z10" s="2"/>
      <c r="AA10" s="2"/>
      <c r="AB10" s="2"/>
      <c r="AC10" s="2"/>
    </row>
    <row r="11">
      <c r="A11" s="15">
        <v>7.0</v>
      </c>
      <c r="B11" s="15">
        <v>1410.0</v>
      </c>
      <c r="C11" s="15">
        <v>51.0</v>
      </c>
      <c r="D11" s="15">
        <v>528.0</v>
      </c>
      <c r="E11" s="15">
        <v>573.0</v>
      </c>
      <c r="F11" s="15">
        <v>1156.06</v>
      </c>
      <c r="G11" s="15"/>
      <c r="H11" s="5"/>
      <c r="I11" s="15">
        <v>7.0</v>
      </c>
      <c r="J11" s="15">
        <v>1410.0</v>
      </c>
      <c r="K11" s="15">
        <v>51.0</v>
      </c>
      <c r="L11" s="15">
        <v>528.0</v>
      </c>
      <c r="M11" s="15">
        <v>573.0</v>
      </c>
      <c r="N11" s="15">
        <v>64.65126</v>
      </c>
      <c r="O11" s="2"/>
      <c r="P11" s="16" t="b">
        <f t="shared" ref="P11:R11" si="10">C11=K11</f>
        <v>1</v>
      </c>
      <c r="Q11" s="16" t="b">
        <f t="shared" si="10"/>
        <v>1</v>
      </c>
      <c r="R11" s="16" t="b">
        <f t="shared" si="10"/>
        <v>1</v>
      </c>
      <c r="S11" s="17">
        <f t="shared" si="3"/>
        <v>1410</v>
      </c>
      <c r="T11" s="18">
        <f t="shared" si="4"/>
        <v>17.88147671</v>
      </c>
      <c r="U11" s="8"/>
      <c r="V11" s="8"/>
      <c r="W11" s="2"/>
      <c r="X11" s="2"/>
      <c r="Y11" s="2"/>
      <c r="Z11" s="2"/>
      <c r="AA11" s="2"/>
      <c r="AB11" s="2"/>
      <c r="AC11" s="2"/>
    </row>
    <row r="12">
      <c r="A12" s="15">
        <v>8.0</v>
      </c>
      <c r="B12" s="15">
        <v>243.0</v>
      </c>
      <c r="C12" s="15">
        <v>33.0</v>
      </c>
      <c r="D12" s="15">
        <v>63.0</v>
      </c>
      <c r="E12" s="15">
        <v>119.0</v>
      </c>
      <c r="F12" s="15">
        <v>199.013</v>
      </c>
      <c r="G12" s="15"/>
      <c r="H12" s="5"/>
      <c r="I12" s="15">
        <v>8.0</v>
      </c>
      <c r="J12" s="15">
        <v>243.0</v>
      </c>
      <c r="K12" s="15">
        <v>33.0</v>
      </c>
      <c r="L12" s="15">
        <v>63.0</v>
      </c>
      <c r="M12" s="15">
        <v>119.0</v>
      </c>
      <c r="N12" s="15">
        <v>33.94151</v>
      </c>
      <c r="O12" s="2"/>
      <c r="P12" s="16" t="b">
        <f t="shared" ref="P12:R12" si="11">C12=K12</f>
        <v>1</v>
      </c>
      <c r="Q12" s="16" t="b">
        <f t="shared" si="11"/>
        <v>1</v>
      </c>
      <c r="R12" s="16" t="b">
        <f t="shared" si="11"/>
        <v>1</v>
      </c>
      <c r="S12" s="17">
        <f t="shared" si="3"/>
        <v>243</v>
      </c>
      <c r="T12" s="18">
        <f t="shared" si="4"/>
        <v>5.86341032</v>
      </c>
      <c r="U12" s="8"/>
      <c r="V12" s="8"/>
      <c r="W12" s="2"/>
      <c r="X12" s="2"/>
      <c r="Y12" s="2"/>
      <c r="Z12" s="2"/>
      <c r="AA12" s="2"/>
      <c r="AB12" s="2"/>
      <c r="AC12" s="2"/>
    </row>
    <row r="13">
      <c r="A13" s="15">
        <v>9.0</v>
      </c>
      <c r="B13" s="15">
        <v>583.0</v>
      </c>
      <c r="C13" s="15">
        <v>56.0</v>
      </c>
      <c r="D13" s="15">
        <v>138.0</v>
      </c>
      <c r="E13" s="15">
        <v>189.0</v>
      </c>
      <c r="F13" s="15">
        <v>478.0796</v>
      </c>
      <c r="G13" s="15"/>
      <c r="H13" s="5"/>
      <c r="I13" s="15">
        <v>9.0</v>
      </c>
      <c r="J13" s="15">
        <v>583.0</v>
      </c>
      <c r="K13" s="15">
        <v>56.0</v>
      </c>
      <c r="L13" s="15">
        <v>138.0</v>
      </c>
      <c r="M13" s="15">
        <v>189.0</v>
      </c>
      <c r="N13" s="15">
        <v>41.48631</v>
      </c>
      <c r="O13" s="2"/>
      <c r="P13" s="16" t="b">
        <f t="shared" ref="P13:R13" si="12">C13=K13</f>
        <v>1</v>
      </c>
      <c r="Q13" s="16" t="b">
        <f t="shared" si="12"/>
        <v>1</v>
      </c>
      <c r="R13" s="16" t="b">
        <f t="shared" si="12"/>
        <v>1</v>
      </c>
      <c r="S13" s="17">
        <f t="shared" si="3"/>
        <v>583</v>
      </c>
      <c r="T13" s="18">
        <f t="shared" si="4"/>
        <v>11.52379182</v>
      </c>
      <c r="U13" s="8"/>
      <c r="V13" s="8"/>
      <c r="W13" s="2"/>
      <c r="X13" s="2"/>
      <c r="Y13" s="2"/>
      <c r="Z13" s="2"/>
      <c r="AA13" s="2"/>
      <c r="AB13" s="2"/>
      <c r="AC13" s="2"/>
    </row>
    <row r="14">
      <c r="A14" s="15">
        <v>10.0</v>
      </c>
      <c r="B14" s="15">
        <v>189.0</v>
      </c>
      <c r="C14" s="15">
        <v>35.0</v>
      </c>
      <c r="D14" s="15">
        <v>88.0</v>
      </c>
      <c r="E14" s="15">
        <v>119.0</v>
      </c>
      <c r="F14" s="15">
        <v>153.9095</v>
      </c>
      <c r="G14" s="15"/>
      <c r="H14" s="5"/>
      <c r="I14" s="15">
        <v>10.0</v>
      </c>
      <c r="J14" s="15">
        <v>189.0</v>
      </c>
      <c r="K14" s="15">
        <v>35.0</v>
      </c>
      <c r="L14" s="15">
        <v>88.0</v>
      </c>
      <c r="M14" s="15">
        <v>119.0</v>
      </c>
      <c r="N14" s="15">
        <v>27.79034</v>
      </c>
      <c r="O14" s="2"/>
      <c r="P14" s="16" t="b">
        <f t="shared" ref="P14:R14" si="13">C14=K14</f>
        <v>1</v>
      </c>
      <c r="Q14" s="16" t="b">
        <f t="shared" si="13"/>
        <v>1</v>
      </c>
      <c r="R14" s="16" t="b">
        <f t="shared" si="13"/>
        <v>1</v>
      </c>
      <c r="S14" s="17">
        <f t="shared" si="3"/>
        <v>189</v>
      </c>
      <c r="T14" s="18">
        <f t="shared" si="4"/>
        <v>5.538237388</v>
      </c>
      <c r="U14" s="8"/>
      <c r="V14" s="8"/>
      <c r="W14" s="2"/>
      <c r="X14" s="2"/>
      <c r="Y14" s="2"/>
      <c r="Z14" s="2"/>
      <c r="AA14" s="2"/>
      <c r="AB14" s="2"/>
      <c r="AC14" s="2"/>
    </row>
    <row r="15">
      <c r="A15" s="15">
        <v>11.0</v>
      </c>
      <c r="B15" s="15">
        <v>111.0</v>
      </c>
      <c r="C15" s="15">
        <v>33.0</v>
      </c>
      <c r="D15" s="15">
        <v>30.0</v>
      </c>
      <c r="E15" s="15">
        <v>76.0</v>
      </c>
      <c r="F15" s="15">
        <v>91.5587</v>
      </c>
      <c r="G15" s="15"/>
      <c r="H15" s="5"/>
      <c r="I15" s="15">
        <v>11.0</v>
      </c>
      <c r="J15" s="15">
        <v>111.0</v>
      </c>
      <c r="K15" s="15">
        <v>33.0</v>
      </c>
      <c r="L15" s="15">
        <v>30.0</v>
      </c>
      <c r="M15" s="15">
        <v>76.0</v>
      </c>
      <c r="N15" s="15">
        <v>30.23891</v>
      </c>
      <c r="O15" s="2"/>
      <c r="P15" s="16" t="b">
        <f t="shared" ref="P15:R15" si="14">C15=K15</f>
        <v>1</v>
      </c>
      <c r="Q15" s="16" t="b">
        <f t="shared" si="14"/>
        <v>1</v>
      </c>
      <c r="R15" s="16" t="b">
        <f t="shared" si="14"/>
        <v>1</v>
      </c>
      <c r="S15" s="17">
        <f t="shared" si="3"/>
        <v>111</v>
      </c>
      <c r="T15" s="18">
        <f t="shared" si="4"/>
        <v>3.027843927</v>
      </c>
      <c r="U15" s="8"/>
      <c r="V15" s="8"/>
      <c r="W15" s="2"/>
      <c r="X15" s="2"/>
      <c r="Y15" s="2"/>
      <c r="Z15" s="2"/>
      <c r="AA15" s="2"/>
      <c r="AB15" s="2"/>
      <c r="AC15" s="2"/>
    </row>
    <row r="16">
      <c r="A16" s="15">
        <v>12.0</v>
      </c>
      <c r="B16" s="15">
        <v>97.0</v>
      </c>
      <c r="C16" s="15">
        <v>38.0</v>
      </c>
      <c r="D16" s="15">
        <v>33.0</v>
      </c>
      <c r="E16" s="15">
        <v>81.0</v>
      </c>
      <c r="F16" s="15">
        <v>78.9834</v>
      </c>
      <c r="G16" s="15"/>
      <c r="H16" s="5"/>
      <c r="I16" s="15">
        <v>12.0</v>
      </c>
      <c r="J16" s="15">
        <v>97.0</v>
      </c>
      <c r="K16" s="15">
        <v>38.0</v>
      </c>
      <c r="L16" s="15">
        <v>33.0</v>
      </c>
      <c r="M16" s="15">
        <v>81.0</v>
      </c>
      <c r="N16" s="15">
        <v>28.3177</v>
      </c>
      <c r="O16" s="2"/>
      <c r="P16" s="16" t="b">
        <f t="shared" ref="P16:R16" si="15">C16=K16</f>
        <v>1</v>
      </c>
      <c r="Q16" s="16" t="b">
        <f t="shared" si="15"/>
        <v>1</v>
      </c>
      <c r="R16" s="16" t="b">
        <f t="shared" si="15"/>
        <v>1</v>
      </c>
      <c r="S16" s="17">
        <f t="shared" si="3"/>
        <v>97</v>
      </c>
      <c r="T16" s="18">
        <f t="shared" si="4"/>
        <v>2.789188387</v>
      </c>
      <c r="U16" s="8"/>
      <c r="V16" s="8"/>
      <c r="W16" s="2"/>
      <c r="X16" s="2"/>
      <c r="Y16" s="2"/>
      <c r="Z16" s="2"/>
      <c r="AA16" s="2"/>
      <c r="AB16" s="2"/>
      <c r="AC16" s="2"/>
    </row>
    <row r="17">
      <c r="A17" s="15">
        <v>13.0</v>
      </c>
      <c r="B17" s="15">
        <v>656.0</v>
      </c>
      <c r="C17" s="15">
        <v>43.0</v>
      </c>
      <c r="D17" s="15">
        <v>214.0</v>
      </c>
      <c r="E17" s="15">
        <v>264.0</v>
      </c>
      <c r="F17" s="15">
        <v>533.9222</v>
      </c>
      <c r="G17" s="15"/>
      <c r="H17" s="5"/>
      <c r="I17" s="15">
        <v>13.0</v>
      </c>
      <c r="J17" s="15">
        <v>656.0</v>
      </c>
      <c r="K17" s="15">
        <v>43.0</v>
      </c>
      <c r="L17" s="15">
        <v>214.0</v>
      </c>
      <c r="M17" s="15">
        <v>264.0</v>
      </c>
      <c r="N17" s="15">
        <v>42.78083</v>
      </c>
      <c r="O17" s="2"/>
      <c r="P17" s="16" t="b">
        <f t="shared" ref="P17:R17" si="16">C17=K17</f>
        <v>1</v>
      </c>
      <c r="Q17" s="16" t="b">
        <f t="shared" si="16"/>
        <v>1</v>
      </c>
      <c r="R17" s="16" t="b">
        <f t="shared" si="16"/>
        <v>1</v>
      </c>
      <c r="S17" s="17">
        <f t="shared" si="3"/>
        <v>656</v>
      </c>
      <c r="T17" s="18">
        <f t="shared" si="4"/>
        <v>12.4804077</v>
      </c>
      <c r="U17" s="8"/>
      <c r="V17" s="8"/>
      <c r="W17" s="2"/>
      <c r="X17" s="2"/>
      <c r="Y17" s="2"/>
      <c r="Z17" s="2"/>
      <c r="AA17" s="2"/>
      <c r="AB17" s="2"/>
      <c r="AC17" s="2"/>
    </row>
    <row r="18">
      <c r="A18" s="15">
        <v>14.0</v>
      </c>
      <c r="B18" s="15">
        <v>605.0</v>
      </c>
      <c r="C18" s="15">
        <v>39.0</v>
      </c>
      <c r="D18" s="15">
        <v>384.0</v>
      </c>
      <c r="E18" s="15">
        <v>427.0</v>
      </c>
      <c r="F18" s="15">
        <v>493.9759</v>
      </c>
      <c r="G18" s="15"/>
      <c r="H18" s="5"/>
      <c r="I18" s="15">
        <v>14.0</v>
      </c>
      <c r="J18" s="15">
        <v>605.0</v>
      </c>
      <c r="K18" s="15">
        <v>39.0</v>
      </c>
      <c r="L18" s="15">
        <v>384.0</v>
      </c>
      <c r="M18" s="15">
        <v>427.0</v>
      </c>
      <c r="N18" s="15">
        <v>41.12281</v>
      </c>
      <c r="O18" s="2"/>
      <c r="P18" s="16" t="b">
        <f t="shared" ref="P18:R18" si="17">C18=K18</f>
        <v>1</v>
      </c>
      <c r="Q18" s="16" t="b">
        <f t="shared" si="17"/>
        <v>1</v>
      </c>
      <c r="R18" s="16" t="b">
        <f t="shared" si="17"/>
        <v>1</v>
      </c>
      <c r="S18" s="17">
        <f t="shared" si="3"/>
        <v>605</v>
      </c>
      <c r="T18" s="18">
        <f t="shared" si="4"/>
        <v>12.01221171</v>
      </c>
      <c r="U18" s="8"/>
      <c r="V18" s="8"/>
      <c r="W18" s="2"/>
      <c r="X18" s="2"/>
      <c r="Y18" s="2"/>
      <c r="Z18" s="2"/>
      <c r="AA18" s="2"/>
      <c r="AB18" s="2"/>
      <c r="AC18" s="2"/>
    </row>
    <row r="19">
      <c r="A19" s="15">
        <v>15.0</v>
      </c>
      <c r="B19" s="15">
        <v>1331.0</v>
      </c>
      <c r="C19" s="15">
        <v>47.0</v>
      </c>
      <c r="D19" s="15">
        <v>1237.0</v>
      </c>
      <c r="E19" s="15">
        <v>1284.0</v>
      </c>
      <c r="F19" s="15">
        <v>1094.291</v>
      </c>
      <c r="G19" s="15"/>
      <c r="H19" s="5"/>
      <c r="I19" s="15">
        <v>15.0</v>
      </c>
      <c r="J19" s="15">
        <v>1331.0</v>
      </c>
      <c r="K19" s="15">
        <v>47.0</v>
      </c>
      <c r="L19" s="15">
        <v>1237.0</v>
      </c>
      <c r="M19" s="15">
        <v>1284.0</v>
      </c>
      <c r="N19" s="15">
        <v>78.03802</v>
      </c>
      <c r="O19" s="2"/>
      <c r="P19" s="16" t="b">
        <f t="shared" ref="P19:R19" si="18">C19=K19</f>
        <v>1</v>
      </c>
      <c r="Q19" s="16" t="b">
        <f t="shared" si="18"/>
        <v>1</v>
      </c>
      <c r="R19" s="16" t="b">
        <f t="shared" si="18"/>
        <v>1</v>
      </c>
      <c r="S19" s="17">
        <f t="shared" si="3"/>
        <v>1331</v>
      </c>
      <c r="T19" s="18">
        <f t="shared" si="4"/>
        <v>14.02253671</v>
      </c>
      <c r="U19" s="8"/>
      <c r="V19" s="8"/>
      <c r="W19" s="2"/>
      <c r="X19" s="2"/>
      <c r="Y19" s="2"/>
      <c r="Z19" s="2"/>
      <c r="AA19" s="2"/>
      <c r="AB19" s="2"/>
      <c r="AC19" s="2"/>
    </row>
    <row r="20">
      <c r="A20" s="15">
        <v>16.0</v>
      </c>
      <c r="B20" s="15">
        <v>940.0</v>
      </c>
      <c r="C20" s="15">
        <v>61.0</v>
      </c>
      <c r="D20" s="15">
        <v>70.0</v>
      </c>
      <c r="E20" s="15">
        <v>125.0</v>
      </c>
      <c r="F20" s="15">
        <v>755.3409</v>
      </c>
      <c r="G20" s="15"/>
      <c r="H20" s="5"/>
      <c r="I20" s="15">
        <v>16.0</v>
      </c>
      <c r="J20" s="15">
        <v>940.0</v>
      </c>
      <c r="K20" s="15">
        <v>61.0</v>
      </c>
      <c r="L20" s="15">
        <v>70.0</v>
      </c>
      <c r="M20" s="15">
        <v>125.0</v>
      </c>
      <c r="N20" s="15">
        <v>51.42921</v>
      </c>
      <c r="O20" s="2"/>
      <c r="P20" s="16" t="b">
        <f t="shared" ref="P20:R20" si="19">C20=K20</f>
        <v>1</v>
      </c>
      <c r="Q20" s="16" t="b">
        <f t="shared" si="19"/>
        <v>1</v>
      </c>
      <c r="R20" s="16" t="b">
        <f t="shared" si="19"/>
        <v>1</v>
      </c>
      <c r="S20" s="17">
        <f t="shared" si="3"/>
        <v>940</v>
      </c>
      <c r="T20" s="18">
        <f t="shared" si="4"/>
        <v>14.6870018</v>
      </c>
      <c r="U20" s="8"/>
      <c r="V20" s="8"/>
      <c r="W20" s="2"/>
      <c r="X20" s="2"/>
      <c r="Y20" s="2"/>
      <c r="Z20" s="2"/>
      <c r="AA20" s="2"/>
      <c r="AB20" s="2"/>
      <c r="AC20" s="2"/>
    </row>
    <row r="21">
      <c r="A21" s="15">
        <v>17.0</v>
      </c>
      <c r="B21" s="15">
        <v>5400.0</v>
      </c>
      <c r="C21" s="15">
        <v>66.0</v>
      </c>
      <c r="D21" s="15">
        <v>3970.0</v>
      </c>
      <c r="E21" s="15">
        <v>4008.0</v>
      </c>
      <c r="F21" s="15">
        <v>4432.804</v>
      </c>
      <c r="G21" s="15"/>
      <c r="H21" s="5"/>
      <c r="I21" s="15">
        <v>17.0</v>
      </c>
      <c r="J21" s="15">
        <v>5400.0</v>
      </c>
      <c r="K21" s="15">
        <v>66.0</v>
      </c>
      <c r="L21" s="15">
        <v>3970.0</v>
      </c>
      <c r="M21" s="15">
        <v>4008.0</v>
      </c>
      <c r="N21" s="15">
        <v>180.0847</v>
      </c>
      <c r="O21" s="2"/>
      <c r="P21" s="16" t="b">
        <f t="shared" ref="P21:R21" si="20">C21=K21</f>
        <v>1</v>
      </c>
      <c r="Q21" s="16" t="b">
        <f t="shared" si="20"/>
        <v>1</v>
      </c>
      <c r="R21" s="16" t="b">
        <f t="shared" si="20"/>
        <v>1</v>
      </c>
      <c r="S21" s="17">
        <f t="shared" si="3"/>
        <v>5400</v>
      </c>
      <c r="T21" s="18">
        <f t="shared" si="4"/>
        <v>24.61510611</v>
      </c>
      <c r="U21" s="8"/>
      <c r="V21" s="8"/>
      <c r="W21" s="2"/>
      <c r="X21" s="2"/>
      <c r="Y21" s="2"/>
      <c r="Z21" s="2"/>
      <c r="AA21" s="2"/>
      <c r="AB21" s="2"/>
      <c r="AC21" s="2"/>
    </row>
    <row r="22">
      <c r="A22" s="15">
        <v>18.0</v>
      </c>
      <c r="B22" s="15">
        <v>68.0</v>
      </c>
      <c r="C22" s="15">
        <v>27.0</v>
      </c>
      <c r="D22" s="15">
        <v>45.0</v>
      </c>
      <c r="E22" s="15">
        <v>68.0</v>
      </c>
      <c r="F22" s="15">
        <v>55.3928</v>
      </c>
      <c r="G22" s="15"/>
      <c r="H22" s="5"/>
      <c r="I22" s="15">
        <v>18.0</v>
      </c>
      <c r="J22" s="15">
        <v>68.0</v>
      </c>
      <c r="K22" s="15">
        <v>27.0</v>
      </c>
      <c r="L22" s="15">
        <v>45.0</v>
      </c>
      <c r="M22" s="15">
        <v>68.0</v>
      </c>
      <c r="N22" s="15">
        <v>25.08893</v>
      </c>
      <c r="O22" s="2"/>
      <c r="P22" s="16" t="b">
        <f t="shared" ref="P22:R22" si="21">C22=K22</f>
        <v>1</v>
      </c>
      <c r="Q22" s="16" t="b">
        <f t="shared" si="21"/>
        <v>1</v>
      </c>
      <c r="R22" s="16" t="b">
        <f t="shared" si="21"/>
        <v>1</v>
      </c>
      <c r="S22" s="17">
        <f t="shared" si="3"/>
        <v>68</v>
      </c>
      <c r="T22" s="18">
        <f t="shared" si="4"/>
        <v>2.207858207</v>
      </c>
      <c r="U22" s="8"/>
      <c r="V22" s="8"/>
      <c r="W22" s="2"/>
      <c r="X22" s="2"/>
      <c r="Y22" s="2"/>
      <c r="Z22" s="2"/>
      <c r="AA22" s="2"/>
      <c r="AB22" s="2"/>
      <c r="AC22" s="2"/>
    </row>
    <row r="23">
      <c r="A23" s="15">
        <v>19.0</v>
      </c>
      <c r="B23" s="15">
        <v>1019.0</v>
      </c>
      <c r="C23" s="15">
        <v>59.0</v>
      </c>
      <c r="D23" s="15">
        <v>903.0</v>
      </c>
      <c r="E23" s="15">
        <v>952.0</v>
      </c>
      <c r="F23" s="15">
        <v>829.1412</v>
      </c>
      <c r="G23" s="15"/>
      <c r="H23" s="5"/>
      <c r="I23" s="15">
        <v>19.0</v>
      </c>
      <c r="J23" s="15">
        <v>1019.0</v>
      </c>
      <c r="K23" s="15">
        <v>59.0</v>
      </c>
      <c r="L23" s="15">
        <v>903.0</v>
      </c>
      <c r="M23" s="15">
        <v>952.0</v>
      </c>
      <c r="N23" s="15">
        <v>53.43718</v>
      </c>
      <c r="O23" s="2"/>
      <c r="P23" s="16" t="b">
        <f t="shared" ref="P23:R23" si="22">C23=K23</f>
        <v>1</v>
      </c>
      <c r="Q23" s="16" t="b">
        <f t="shared" si="22"/>
        <v>1</v>
      </c>
      <c r="R23" s="16" t="b">
        <f t="shared" si="22"/>
        <v>1</v>
      </c>
      <c r="S23" s="17">
        <f t="shared" si="3"/>
        <v>1019</v>
      </c>
      <c r="T23" s="18">
        <f t="shared" si="4"/>
        <v>15.51618555</v>
      </c>
      <c r="U23" s="8"/>
      <c r="V23" s="8"/>
      <c r="W23" s="2"/>
      <c r="X23" s="2"/>
      <c r="Y23" s="2"/>
      <c r="Z23" s="2"/>
      <c r="AA23" s="2"/>
      <c r="AB23" s="2"/>
      <c r="AC23" s="2"/>
    </row>
    <row r="24">
      <c r="A24" s="15">
        <v>20.0</v>
      </c>
      <c r="B24" s="15">
        <v>945.0</v>
      </c>
      <c r="C24" s="15">
        <v>56.0</v>
      </c>
      <c r="D24" s="15">
        <v>288.0</v>
      </c>
      <c r="E24" s="15">
        <v>339.0</v>
      </c>
      <c r="F24" s="15">
        <v>759.1253</v>
      </c>
      <c r="G24" s="15"/>
      <c r="H24" s="5"/>
      <c r="I24" s="15">
        <v>20.0</v>
      </c>
      <c r="J24" s="15">
        <v>945.0</v>
      </c>
      <c r="K24" s="15">
        <v>56.0</v>
      </c>
      <c r="L24" s="15">
        <v>288.0</v>
      </c>
      <c r="M24" s="15">
        <v>339.0</v>
      </c>
      <c r="N24" s="15">
        <v>51.34848</v>
      </c>
      <c r="O24" s="2"/>
      <c r="P24" s="16" t="b">
        <f t="shared" ref="P24:R24" si="23">C24=K24</f>
        <v>1</v>
      </c>
      <c r="Q24" s="16" t="b">
        <f t="shared" si="23"/>
        <v>1</v>
      </c>
      <c r="R24" s="16" t="b">
        <f t="shared" si="23"/>
        <v>1</v>
      </c>
      <c r="S24" s="17">
        <f t="shared" si="3"/>
        <v>945</v>
      </c>
      <c r="T24" s="18">
        <f t="shared" si="4"/>
        <v>14.78379302</v>
      </c>
      <c r="U24" s="8"/>
      <c r="V24" s="8"/>
      <c r="W24" s="2"/>
      <c r="X24" s="2"/>
      <c r="Y24" s="2"/>
      <c r="Z24" s="2"/>
      <c r="AA24" s="2"/>
      <c r="AB24" s="2"/>
      <c r="AC24" s="2"/>
    </row>
    <row r="25">
      <c r="A25" s="15">
        <v>21.0</v>
      </c>
      <c r="B25" s="15">
        <v>597.0</v>
      </c>
      <c r="C25" s="15">
        <v>50.0</v>
      </c>
      <c r="D25" s="15">
        <v>7.0</v>
      </c>
      <c r="E25" s="15">
        <v>49.0</v>
      </c>
      <c r="F25" s="15">
        <v>485.6903</v>
      </c>
      <c r="G25" s="15"/>
      <c r="H25" s="5"/>
      <c r="I25" s="15">
        <v>21.0</v>
      </c>
      <c r="J25" s="15">
        <v>597.0</v>
      </c>
      <c r="K25" s="15">
        <v>50.0</v>
      </c>
      <c r="L25" s="15">
        <v>7.0</v>
      </c>
      <c r="M25" s="15">
        <v>49.0</v>
      </c>
      <c r="N25" s="15">
        <v>40.83098</v>
      </c>
      <c r="O25" s="2"/>
      <c r="P25" s="16" t="b">
        <f t="shared" ref="P25:R25" si="24">C25=K25</f>
        <v>1</v>
      </c>
      <c r="Q25" s="16" t="b">
        <f t="shared" si="24"/>
        <v>1</v>
      </c>
      <c r="R25" s="16" t="b">
        <f t="shared" si="24"/>
        <v>1</v>
      </c>
      <c r="S25" s="17">
        <f t="shared" si="3"/>
        <v>597</v>
      </c>
      <c r="T25" s="18">
        <f t="shared" si="4"/>
        <v>11.89514188</v>
      </c>
      <c r="U25" s="8"/>
      <c r="V25" s="8"/>
      <c r="W25" s="2"/>
      <c r="X25" s="2"/>
      <c r="Y25" s="2"/>
      <c r="Z25" s="2"/>
      <c r="AA25" s="2"/>
      <c r="AB25" s="2"/>
      <c r="AC25" s="2"/>
    </row>
    <row r="26">
      <c r="A26" s="15">
        <v>22.0</v>
      </c>
      <c r="B26" s="15">
        <v>81.0</v>
      </c>
      <c r="C26" s="15">
        <v>35.0</v>
      </c>
      <c r="D26" s="15">
        <v>47.0</v>
      </c>
      <c r="E26" s="15">
        <v>79.0</v>
      </c>
      <c r="F26" s="15">
        <v>65.5672</v>
      </c>
      <c r="G26" s="15"/>
      <c r="H26" s="5"/>
      <c r="I26" s="15">
        <v>22.0</v>
      </c>
      <c r="J26" s="15">
        <v>81.0</v>
      </c>
      <c r="K26" s="15">
        <v>35.0</v>
      </c>
      <c r="L26" s="15">
        <v>47.0</v>
      </c>
      <c r="M26" s="15">
        <v>79.0</v>
      </c>
      <c r="N26" s="15">
        <v>22.12966</v>
      </c>
      <c r="O26" s="2"/>
      <c r="P26" s="16" t="b">
        <f t="shared" ref="P26:R26" si="25">C26=K26</f>
        <v>1</v>
      </c>
      <c r="Q26" s="16" t="b">
        <f t="shared" si="25"/>
        <v>1</v>
      </c>
      <c r="R26" s="16" t="b">
        <f t="shared" si="25"/>
        <v>1</v>
      </c>
      <c r="S26" s="17">
        <f t="shared" si="3"/>
        <v>81</v>
      </c>
      <c r="T26" s="18">
        <f t="shared" si="4"/>
        <v>2.962865223</v>
      </c>
      <c r="U26" s="8"/>
      <c r="V26" s="8"/>
      <c r="W26" s="2"/>
      <c r="X26" s="2"/>
      <c r="Y26" s="2"/>
      <c r="Z26" s="2"/>
      <c r="AA26" s="2"/>
      <c r="AB26" s="2"/>
      <c r="AC26" s="2"/>
    </row>
    <row r="27">
      <c r="A27" s="15">
        <v>23.0</v>
      </c>
      <c r="B27" s="15">
        <v>260.0</v>
      </c>
      <c r="C27" s="15">
        <v>48.0</v>
      </c>
      <c r="D27" s="15">
        <v>171.0</v>
      </c>
      <c r="E27" s="15">
        <v>221.0</v>
      </c>
      <c r="F27" s="15">
        <v>211.3766</v>
      </c>
      <c r="G27" s="15"/>
      <c r="H27" s="5"/>
      <c r="I27" s="15">
        <v>23.0</v>
      </c>
      <c r="J27" s="15">
        <v>260.0</v>
      </c>
      <c r="K27" s="15">
        <v>48.0</v>
      </c>
      <c r="L27" s="15">
        <v>171.0</v>
      </c>
      <c r="M27" s="15">
        <v>221.0</v>
      </c>
      <c r="N27" s="15">
        <v>32.97469</v>
      </c>
      <c r="O27" s="2"/>
      <c r="P27" s="16" t="b">
        <f t="shared" ref="P27:R27" si="26">C27=K27</f>
        <v>1</v>
      </c>
      <c r="Q27" s="16" t="b">
        <f t="shared" si="26"/>
        <v>1</v>
      </c>
      <c r="R27" s="16" t="b">
        <f t="shared" si="26"/>
        <v>1</v>
      </c>
      <c r="S27" s="17">
        <f t="shared" si="3"/>
        <v>260</v>
      </c>
      <c r="T27" s="18">
        <f t="shared" si="4"/>
        <v>6.410267996</v>
      </c>
      <c r="U27" s="8"/>
      <c r="V27" s="8"/>
      <c r="W27" s="2"/>
      <c r="X27" s="2"/>
      <c r="Y27" s="2"/>
      <c r="Z27" s="2"/>
      <c r="AA27" s="2"/>
      <c r="AB27" s="2"/>
      <c r="AC27" s="2"/>
    </row>
    <row r="28">
      <c r="A28" s="15">
        <v>24.0</v>
      </c>
      <c r="B28" s="15">
        <v>446.0</v>
      </c>
      <c r="C28" s="15">
        <v>46.0</v>
      </c>
      <c r="D28" s="15">
        <v>378.0</v>
      </c>
      <c r="E28" s="15">
        <v>425.0</v>
      </c>
      <c r="F28" s="15">
        <v>363.2547</v>
      </c>
      <c r="G28" s="15"/>
      <c r="H28" s="5"/>
      <c r="I28" s="15">
        <v>24.0</v>
      </c>
      <c r="J28" s="15">
        <v>446.0</v>
      </c>
      <c r="K28" s="15">
        <v>46.0</v>
      </c>
      <c r="L28" s="15">
        <v>378.0</v>
      </c>
      <c r="M28" s="15">
        <v>425.0</v>
      </c>
      <c r="N28" s="15">
        <v>36.6728</v>
      </c>
      <c r="O28" s="2"/>
      <c r="P28" s="16" t="b">
        <f t="shared" ref="P28:R28" si="27">C28=K28</f>
        <v>1</v>
      </c>
      <c r="Q28" s="16" t="b">
        <f t="shared" si="27"/>
        <v>1</v>
      </c>
      <c r="R28" s="16" t="b">
        <f t="shared" si="27"/>
        <v>1</v>
      </c>
      <c r="S28" s="17">
        <f t="shared" si="3"/>
        <v>446</v>
      </c>
      <c r="T28" s="18">
        <f t="shared" si="4"/>
        <v>9.905289479</v>
      </c>
      <c r="U28" s="8"/>
      <c r="V28" s="8"/>
      <c r="W28" s="2"/>
      <c r="X28" s="2"/>
      <c r="Y28" s="2"/>
      <c r="Z28" s="2"/>
      <c r="AA28" s="2"/>
      <c r="AB28" s="2"/>
      <c r="AC28" s="2"/>
    </row>
    <row r="29">
      <c r="A29" s="15">
        <v>25.0</v>
      </c>
      <c r="B29" s="15">
        <v>512.0</v>
      </c>
      <c r="C29" s="15">
        <v>43.0</v>
      </c>
      <c r="D29" s="15">
        <v>122.0</v>
      </c>
      <c r="E29" s="15">
        <v>166.0</v>
      </c>
      <c r="F29" s="15">
        <v>414.9551</v>
      </c>
      <c r="G29" s="15"/>
      <c r="H29" s="5"/>
      <c r="I29" s="15">
        <v>25.0</v>
      </c>
      <c r="J29" s="15">
        <v>512.0</v>
      </c>
      <c r="K29" s="15">
        <v>43.0</v>
      </c>
      <c r="L29" s="15">
        <v>122.0</v>
      </c>
      <c r="M29" s="15">
        <v>166.0</v>
      </c>
      <c r="N29" s="15">
        <v>38.58022</v>
      </c>
      <c r="O29" s="2"/>
      <c r="P29" s="16" t="b">
        <f t="shared" ref="P29:R29" si="28">C29=K29</f>
        <v>1</v>
      </c>
      <c r="Q29" s="16" t="b">
        <f t="shared" si="28"/>
        <v>1</v>
      </c>
      <c r="R29" s="16" t="b">
        <f t="shared" si="28"/>
        <v>1</v>
      </c>
      <c r="S29" s="17">
        <f t="shared" si="3"/>
        <v>512</v>
      </c>
      <c r="T29" s="18">
        <f t="shared" si="4"/>
        <v>10.7556437</v>
      </c>
      <c r="U29" s="8"/>
      <c r="V29" s="8"/>
      <c r="W29" s="2"/>
      <c r="X29" s="2"/>
      <c r="Y29" s="2"/>
      <c r="Z29" s="2"/>
      <c r="AA29" s="2"/>
      <c r="AB29" s="2"/>
      <c r="AC29" s="2"/>
    </row>
    <row r="30">
      <c r="A30" s="15">
        <v>26.0</v>
      </c>
      <c r="B30" s="15">
        <v>569.0</v>
      </c>
      <c r="C30" s="15">
        <v>48.0</v>
      </c>
      <c r="D30" s="15">
        <v>195.0</v>
      </c>
      <c r="E30" s="15">
        <v>235.0</v>
      </c>
      <c r="F30" s="15">
        <v>453.2271</v>
      </c>
      <c r="G30" s="15"/>
      <c r="H30" s="5"/>
      <c r="I30" s="15">
        <v>26.0</v>
      </c>
      <c r="J30" s="15">
        <v>569.0</v>
      </c>
      <c r="K30" s="15">
        <v>48.0</v>
      </c>
      <c r="L30" s="15">
        <v>195.0</v>
      </c>
      <c r="M30" s="15">
        <v>235.0</v>
      </c>
      <c r="N30" s="15">
        <v>39.28605</v>
      </c>
      <c r="O30" s="2"/>
      <c r="P30" s="16" t="b">
        <f t="shared" ref="P30:R30" si="29">C30=K30</f>
        <v>1</v>
      </c>
      <c r="Q30" s="16" t="b">
        <f t="shared" si="29"/>
        <v>1</v>
      </c>
      <c r="R30" s="16" t="b">
        <f t="shared" si="29"/>
        <v>1</v>
      </c>
      <c r="S30" s="17">
        <f t="shared" si="3"/>
        <v>569</v>
      </c>
      <c r="T30" s="18">
        <f t="shared" si="4"/>
        <v>11.53659123</v>
      </c>
      <c r="U30" s="8"/>
      <c r="V30" s="8"/>
      <c r="W30" s="2"/>
      <c r="X30" s="2"/>
      <c r="Y30" s="2"/>
      <c r="Z30" s="2"/>
      <c r="AA30" s="2"/>
      <c r="AB30" s="2"/>
      <c r="AC30" s="2"/>
    </row>
    <row r="31">
      <c r="A31" s="15">
        <v>27.0</v>
      </c>
      <c r="B31" s="15">
        <v>334.0</v>
      </c>
      <c r="C31" s="15">
        <v>39.0</v>
      </c>
      <c r="D31" s="15">
        <v>206.0</v>
      </c>
      <c r="E31" s="15">
        <v>253.0</v>
      </c>
      <c r="F31" s="15">
        <v>268.4199</v>
      </c>
      <c r="G31" s="15"/>
      <c r="H31" s="5"/>
      <c r="I31" s="15">
        <v>27.0</v>
      </c>
      <c r="J31" s="15">
        <v>334.0</v>
      </c>
      <c r="K31" s="15">
        <v>39.0</v>
      </c>
      <c r="L31" s="15">
        <v>206.0</v>
      </c>
      <c r="M31" s="15">
        <v>253.0</v>
      </c>
      <c r="N31" s="15">
        <v>33.30663</v>
      </c>
      <c r="O31" s="2"/>
      <c r="P31" s="16" t="b">
        <f t="shared" ref="P31:R31" si="30">C31=K31</f>
        <v>1</v>
      </c>
      <c r="Q31" s="16" t="b">
        <f t="shared" si="30"/>
        <v>1</v>
      </c>
      <c r="R31" s="16" t="b">
        <f t="shared" si="30"/>
        <v>1</v>
      </c>
      <c r="S31" s="17">
        <f t="shared" si="3"/>
        <v>334</v>
      </c>
      <c r="T31" s="18">
        <f t="shared" si="4"/>
        <v>8.059053107</v>
      </c>
      <c r="U31" s="8"/>
      <c r="V31" s="8"/>
      <c r="W31" s="2"/>
      <c r="X31" s="2"/>
      <c r="Y31" s="2"/>
      <c r="Z31" s="2"/>
      <c r="AA31" s="2"/>
      <c r="AB31" s="2"/>
      <c r="AC31" s="2"/>
    </row>
    <row r="32">
      <c r="A32" s="15">
        <v>28.0</v>
      </c>
      <c r="B32" s="15">
        <v>78.0</v>
      </c>
      <c r="C32" s="15">
        <v>38.0</v>
      </c>
      <c r="D32" s="15">
        <v>32.0</v>
      </c>
      <c r="E32" s="15">
        <v>60.0</v>
      </c>
      <c r="F32" s="15">
        <v>63.8991</v>
      </c>
      <c r="G32" s="15"/>
      <c r="H32" s="5"/>
      <c r="I32" s="15">
        <v>28.0</v>
      </c>
      <c r="J32" s="15">
        <v>78.0</v>
      </c>
      <c r="K32" s="15">
        <v>38.0</v>
      </c>
      <c r="L32" s="15">
        <v>32.0</v>
      </c>
      <c r="M32" s="15">
        <v>60.0</v>
      </c>
      <c r="N32" s="15">
        <v>21.67085</v>
      </c>
      <c r="O32" s="2"/>
      <c r="P32" s="16" t="b">
        <f t="shared" ref="P32:R32" si="31">C32=K32</f>
        <v>1</v>
      </c>
      <c r="Q32" s="16" t="b">
        <f t="shared" si="31"/>
        <v>1</v>
      </c>
      <c r="R32" s="16" t="b">
        <f t="shared" si="31"/>
        <v>1</v>
      </c>
      <c r="S32" s="17">
        <f t="shared" si="3"/>
        <v>78</v>
      </c>
      <c r="T32" s="18">
        <f t="shared" si="4"/>
        <v>2.94861992</v>
      </c>
      <c r="U32" s="8"/>
      <c r="V32" s="8"/>
      <c r="W32" s="2"/>
      <c r="X32" s="2"/>
      <c r="Y32" s="2"/>
      <c r="Z32" s="2"/>
      <c r="AA32" s="2"/>
      <c r="AB32" s="2"/>
      <c r="AC32" s="2"/>
    </row>
    <row r="33">
      <c r="A33" s="15">
        <v>29.0</v>
      </c>
      <c r="B33" s="15">
        <v>79.0</v>
      </c>
      <c r="C33" s="15">
        <v>35.0</v>
      </c>
      <c r="D33" s="15">
        <v>3.0</v>
      </c>
      <c r="E33" s="15">
        <v>39.0</v>
      </c>
      <c r="F33" s="15">
        <v>64.8066</v>
      </c>
      <c r="G33" s="15"/>
      <c r="H33" s="5"/>
      <c r="I33" s="15">
        <v>29.0</v>
      </c>
      <c r="J33" s="15">
        <v>79.0</v>
      </c>
      <c r="K33" s="15">
        <v>35.0</v>
      </c>
      <c r="L33" s="15">
        <v>3.0</v>
      </c>
      <c r="M33" s="15">
        <v>39.0</v>
      </c>
      <c r="N33" s="15">
        <v>23.14336</v>
      </c>
      <c r="O33" s="2"/>
      <c r="P33" s="16" t="b">
        <f t="shared" ref="P33:R33" si="32">C33=K33</f>
        <v>1</v>
      </c>
      <c r="Q33" s="16" t="b">
        <f t="shared" si="32"/>
        <v>1</v>
      </c>
      <c r="R33" s="16" t="b">
        <f t="shared" si="32"/>
        <v>1</v>
      </c>
      <c r="S33" s="17">
        <f t="shared" si="3"/>
        <v>79</v>
      </c>
      <c r="T33" s="18">
        <f t="shared" si="4"/>
        <v>2.800224341</v>
      </c>
      <c r="U33" s="8"/>
      <c r="V33" s="8"/>
      <c r="W33" s="2"/>
      <c r="X33" s="2"/>
      <c r="Y33" s="2"/>
      <c r="Z33" s="2"/>
      <c r="AA33" s="2"/>
      <c r="AB33" s="2"/>
      <c r="AC33" s="2"/>
    </row>
    <row r="34">
      <c r="A34" s="15">
        <v>30.0</v>
      </c>
      <c r="B34" s="15">
        <v>404.0</v>
      </c>
      <c r="C34" s="15">
        <v>49.0</v>
      </c>
      <c r="D34" s="15">
        <v>287.0</v>
      </c>
      <c r="E34" s="15">
        <v>335.0</v>
      </c>
      <c r="F34" s="15">
        <v>330.219</v>
      </c>
      <c r="G34" s="15"/>
      <c r="H34" s="5"/>
      <c r="I34" s="15">
        <v>30.0</v>
      </c>
      <c r="J34" s="15">
        <v>404.0</v>
      </c>
      <c r="K34" s="15">
        <v>49.0</v>
      </c>
      <c r="L34" s="15">
        <v>287.0</v>
      </c>
      <c r="M34" s="15">
        <v>335.0</v>
      </c>
      <c r="N34" s="15">
        <v>36.24643</v>
      </c>
      <c r="O34" s="2"/>
      <c r="P34" s="16" t="b">
        <f t="shared" ref="P34:R34" si="33">C34=K34</f>
        <v>1</v>
      </c>
      <c r="Q34" s="16" t="b">
        <f t="shared" si="33"/>
        <v>1</v>
      </c>
      <c r="R34" s="16" t="b">
        <f t="shared" si="33"/>
        <v>1</v>
      </c>
      <c r="S34" s="17">
        <f t="shared" si="3"/>
        <v>404</v>
      </c>
      <c r="T34" s="18">
        <f t="shared" si="4"/>
        <v>9.110386871</v>
      </c>
      <c r="U34" s="8"/>
      <c r="V34" s="8"/>
      <c r="W34" s="2"/>
      <c r="X34" s="2"/>
      <c r="Y34" s="2"/>
      <c r="Z34" s="2"/>
      <c r="AA34" s="2"/>
      <c r="AB34" s="2"/>
      <c r="AC34" s="2"/>
    </row>
    <row r="35">
      <c r="A35" s="15">
        <v>31.0</v>
      </c>
      <c r="B35" s="15">
        <v>80.0</v>
      </c>
      <c r="C35" s="15">
        <v>31.0</v>
      </c>
      <c r="D35" s="15">
        <v>29.0</v>
      </c>
      <c r="E35" s="15">
        <v>51.0</v>
      </c>
      <c r="F35" s="15">
        <v>65.8484</v>
      </c>
      <c r="G35" s="15"/>
      <c r="H35" s="5"/>
      <c r="I35" s="15">
        <v>31.0</v>
      </c>
      <c r="J35" s="15">
        <v>80.0</v>
      </c>
      <c r="K35" s="15">
        <v>31.0</v>
      </c>
      <c r="L35" s="15">
        <v>29.0</v>
      </c>
      <c r="M35" s="15">
        <v>51.0</v>
      </c>
      <c r="N35" s="15">
        <v>20.15437</v>
      </c>
      <c r="O35" s="2"/>
      <c r="P35" s="16" t="b">
        <f t="shared" ref="P35:R35" si="34">C35=K35</f>
        <v>1</v>
      </c>
      <c r="Q35" s="16" t="b">
        <f t="shared" si="34"/>
        <v>1</v>
      </c>
      <c r="R35" s="16" t="b">
        <f t="shared" si="34"/>
        <v>1</v>
      </c>
      <c r="S35" s="17">
        <f t="shared" si="3"/>
        <v>80</v>
      </c>
      <c r="T35" s="18">
        <f t="shared" si="4"/>
        <v>3.267202101</v>
      </c>
      <c r="U35" s="8"/>
      <c r="V35" s="8"/>
      <c r="W35" s="2"/>
      <c r="X35" s="2"/>
      <c r="Y35" s="2"/>
      <c r="Z35" s="2"/>
      <c r="AA35" s="2"/>
      <c r="AB35" s="2"/>
      <c r="AC35" s="2"/>
    </row>
    <row r="36">
      <c r="A36" s="15">
        <v>32.0</v>
      </c>
      <c r="B36" s="15">
        <v>1488.0</v>
      </c>
      <c r="C36" s="15">
        <v>51.0</v>
      </c>
      <c r="D36" s="15">
        <v>1265.0</v>
      </c>
      <c r="E36" s="15">
        <v>1308.0</v>
      </c>
      <c r="F36" s="15">
        <v>1215.052</v>
      </c>
      <c r="G36" s="15"/>
      <c r="H36" s="5"/>
      <c r="I36" s="15">
        <v>32.0</v>
      </c>
      <c r="J36" s="15">
        <v>1488.0</v>
      </c>
      <c r="K36" s="15">
        <v>51.0</v>
      </c>
      <c r="L36" s="15">
        <v>1265.0</v>
      </c>
      <c r="M36" s="15">
        <v>1308.0</v>
      </c>
      <c r="N36" s="15">
        <v>66.48445</v>
      </c>
      <c r="O36" s="2"/>
      <c r="P36" s="16" t="b">
        <f t="shared" ref="P36:R36" si="35">C36=K36</f>
        <v>1</v>
      </c>
      <c r="Q36" s="16" t="b">
        <f t="shared" si="35"/>
        <v>1</v>
      </c>
      <c r="R36" s="16" t="b">
        <f t="shared" si="35"/>
        <v>1</v>
      </c>
      <c r="S36" s="17">
        <f t="shared" si="3"/>
        <v>1488</v>
      </c>
      <c r="T36" s="18">
        <f t="shared" si="4"/>
        <v>18.27573214</v>
      </c>
      <c r="U36" s="8"/>
      <c r="V36" s="8"/>
      <c r="W36" s="2"/>
      <c r="X36" s="2"/>
      <c r="Y36" s="2"/>
      <c r="Z36" s="2"/>
      <c r="AA36" s="2"/>
      <c r="AB36" s="2"/>
      <c r="AC36" s="2"/>
    </row>
    <row r="37">
      <c r="A37" s="15">
        <v>33.0</v>
      </c>
      <c r="B37" s="15">
        <v>356.0</v>
      </c>
      <c r="C37" s="15">
        <v>45.0</v>
      </c>
      <c r="D37" s="15">
        <v>278.0</v>
      </c>
      <c r="E37" s="15">
        <v>324.0</v>
      </c>
      <c r="F37" s="15">
        <v>296.8011</v>
      </c>
      <c r="G37" s="15"/>
      <c r="H37" s="5"/>
      <c r="I37" s="15">
        <v>33.0</v>
      </c>
      <c r="J37" s="15">
        <v>356.0</v>
      </c>
      <c r="K37" s="15">
        <v>45.0</v>
      </c>
      <c r="L37" s="15">
        <v>278.0</v>
      </c>
      <c r="M37" s="15">
        <v>324.0</v>
      </c>
      <c r="N37" s="15">
        <v>33.38365</v>
      </c>
      <c r="O37" s="2"/>
      <c r="P37" s="16" t="b">
        <f t="shared" ref="P37:R37" si="36">C37=K37</f>
        <v>1</v>
      </c>
      <c r="Q37" s="16" t="b">
        <f t="shared" si="36"/>
        <v>1</v>
      </c>
      <c r="R37" s="16" t="b">
        <f t="shared" si="36"/>
        <v>1</v>
      </c>
      <c r="S37" s="17">
        <f t="shared" si="3"/>
        <v>356</v>
      </c>
      <c r="T37" s="18">
        <f t="shared" si="4"/>
        <v>8.89061262</v>
      </c>
      <c r="U37" s="8"/>
      <c r="V37" s="8"/>
      <c r="W37" s="2"/>
      <c r="X37" s="2"/>
      <c r="Y37" s="2"/>
      <c r="Z37" s="2"/>
      <c r="AA37" s="2"/>
      <c r="AB37" s="2"/>
      <c r="AC37" s="2"/>
    </row>
    <row r="38">
      <c r="A38" s="15">
        <v>34.0</v>
      </c>
      <c r="B38" s="15">
        <v>569.0</v>
      </c>
      <c r="C38" s="15">
        <v>57.0</v>
      </c>
      <c r="D38" s="15">
        <v>31.0</v>
      </c>
      <c r="E38" s="15">
        <v>82.0</v>
      </c>
      <c r="F38" s="15">
        <v>458.6294</v>
      </c>
      <c r="G38" s="15"/>
      <c r="H38" s="5"/>
      <c r="I38" s="15">
        <v>34.0</v>
      </c>
      <c r="J38" s="15">
        <v>569.0</v>
      </c>
      <c r="K38" s="15">
        <v>57.0</v>
      </c>
      <c r="L38" s="15">
        <v>31.0</v>
      </c>
      <c r="M38" s="15">
        <v>82.0</v>
      </c>
      <c r="N38" s="15">
        <v>40.16035</v>
      </c>
      <c r="O38" s="2"/>
      <c r="P38" s="16" t="b">
        <f t="shared" ref="P38:R38" si="37">C38=K38</f>
        <v>1</v>
      </c>
      <c r="Q38" s="16" t="b">
        <f t="shared" si="37"/>
        <v>1</v>
      </c>
      <c r="R38" s="16" t="b">
        <f t="shared" si="37"/>
        <v>1</v>
      </c>
      <c r="S38" s="17">
        <f t="shared" si="3"/>
        <v>569</v>
      </c>
      <c r="T38" s="18">
        <f t="shared" si="4"/>
        <v>11.41995525</v>
      </c>
      <c r="U38" s="8"/>
      <c r="V38" s="8"/>
      <c r="W38" s="2"/>
      <c r="X38" s="2"/>
      <c r="Y38" s="2"/>
      <c r="Z38" s="2"/>
      <c r="AA38" s="2"/>
      <c r="AB38" s="2"/>
      <c r="AC38" s="2"/>
    </row>
    <row r="39">
      <c r="A39" s="15">
        <v>35.0</v>
      </c>
      <c r="B39" s="15">
        <v>136.0</v>
      </c>
      <c r="C39" s="15">
        <v>33.0</v>
      </c>
      <c r="D39" s="15">
        <v>114.0</v>
      </c>
      <c r="E39" s="15">
        <v>135.0</v>
      </c>
      <c r="F39" s="15">
        <v>110.5543</v>
      </c>
      <c r="G39" s="15"/>
      <c r="H39" s="5"/>
      <c r="I39" s="15">
        <v>35.0</v>
      </c>
      <c r="J39" s="15">
        <v>136.0</v>
      </c>
      <c r="K39" s="15">
        <v>33.0</v>
      </c>
      <c r="L39" s="15">
        <v>114.0</v>
      </c>
      <c r="M39" s="15">
        <v>135.0</v>
      </c>
      <c r="N39" s="15">
        <v>23.23159</v>
      </c>
      <c r="O39" s="2"/>
      <c r="P39" s="16" t="b">
        <f t="shared" ref="P39:R39" si="38">C39=K39</f>
        <v>1</v>
      </c>
      <c r="Q39" s="16" t="b">
        <f t="shared" si="38"/>
        <v>1</v>
      </c>
      <c r="R39" s="16" t="b">
        <f t="shared" si="38"/>
        <v>1</v>
      </c>
      <c r="S39" s="17">
        <f t="shared" si="3"/>
        <v>136</v>
      </c>
      <c r="T39" s="18">
        <f t="shared" si="4"/>
        <v>4.7587918</v>
      </c>
      <c r="U39" s="8"/>
      <c r="V39" s="8"/>
      <c r="W39" s="2"/>
      <c r="X39" s="2"/>
      <c r="Y39" s="2"/>
      <c r="Z39" s="2"/>
      <c r="AA39" s="2"/>
      <c r="AB39" s="2"/>
      <c r="AC39" s="2"/>
    </row>
    <row r="40">
      <c r="A40" s="15">
        <v>36.0</v>
      </c>
      <c r="B40" s="15">
        <v>303.0</v>
      </c>
      <c r="C40" s="15">
        <v>42.0</v>
      </c>
      <c r="D40" s="15">
        <v>257.0</v>
      </c>
      <c r="E40" s="15">
        <v>294.0</v>
      </c>
      <c r="F40" s="15">
        <v>249.3764</v>
      </c>
      <c r="G40" s="15"/>
      <c r="H40" s="5"/>
      <c r="I40" s="15">
        <v>36.0</v>
      </c>
      <c r="J40" s="15">
        <v>303.0</v>
      </c>
      <c r="K40" s="15">
        <v>42.0</v>
      </c>
      <c r="L40" s="15">
        <v>257.0</v>
      </c>
      <c r="M40" s="15">
        <v>294.0</v>
      </c>
      <c r="N40" s="15">
        <v>30.47011</v>
      </c>
      <c r="O40" s="2"/>
      <c r="P40" s="16" t="b">
        <f t="shared" ref="P40:R40" si="39">C40=K40</f>
        <v>1</v>
      </c>
      <c r="Q40" s="16" t="b">
        <f t="shared" si="39"/>
        <v>1</v>
      </c>
      <c r="R40" s="16" t="b">
        <f t="shared" si="39"/>
        <v>1</v>
      </c>
      <c r="S40" s="17">
        <f t="shared" si="3"/>
        <v>303</v>
      </c>
      <c r="T40" s="18">
        <f t="shared" si="4"/>
        <v>8.18429602</v>
      </c>
      <c r="U40" s="8"/>
      <c r="V40" s="8"/>
      <c r="W40" s="2"/>
      <c r="X40" s="2"/>
      <c r="Y40" s="2"/>
      <c r="Z40" s="2"/>
      <c r="AA40" s="2"/>
      <c r="AB40" s="2"/>
      <c r="AC40" s="2"/>
    </row>
    <row r="41">
      <c r="A41" s="15">
        <v>37.0</v>
      </c>
      <c r="B41" s="15">
        <v>73.0</v>
      </c>
      <c r="C41" s="15">
        <v>45.0</v>
      </c>
      <c r="D41" s="15">
        <v>10.0</v>
      </c>
      <c r="E41" s="15">
        <v>45.0</v>
      </c>
      <c r="F41" s="15">
        <v>59.5316</v>
      </c>
      <c r="G41" s="15"/>
      <c r="H41" s="5"/>
      <c r="I41" s="15">
        <v>37.0</v>
      </c>
      <c r="J41" s="15">
        <v>73.0</v>
      </c>
      <c r="K41" s="15">
        <v>45.0</v>
      </c>
      <c r="L41" s="15">
        <v>10.0</v>
      </c>
      <c r="M41" s="15">
        <v>45.0</v>
      </c>
      <c r="N41" s="15">
        <v>25.21498</v>
      </c>
      <c r="O41" s="2"/>
      <c r="P41" s="16" t="b">
        <f t="shared" ref="P41:R41" si="40">C41=K41</f>
        <v>1</v>
      </c>
      <c r="Q41" s="16" t="b">
        <f t="shared" si="40"/>
        <v>1</v>
      </c>
      <c r="R41" s="16" t="b">
        <f t="shared" si="40"/>
        <v>1</v>
      </c>
      <c r="S41" s="17">
        <f t="shared" si="3"/>
        <v>73</v>
      </c>
      <c r="T41" s="18">
        <f t="shared" si="4"/>
        <v>2.360961619</v>
      </c>
      <c r="U41" s="8"/>
      <c r="V41" s="8"/>
      <c r="W41" s="2"/>
      <c r="X41" s="2"/>
      <c r="Y41" s="2"/>
      <c r="Z41" s="2"/>
      <c r="AA41" s="2"/>
      <c r="AB41" s="2"/>
      <c r="AC41" s="2"/>
    </row>
    <row r="42">
      <c r="A42" s="15">
        <v>38.0</v>
      </c>
      <c r="B42" s="15">
        <v>101.0</v>
      </c>
      <c r="C42" s="15">
        <v>44.0</v>
      </c>
      <c r="D42" s="15">
        <v>8.0</v>
      </c>
      <c r="E42" s="15">
        <v>44.0</v>
      </c>
      <c r="F42" s="15">
        <v>81.6323</v>
      </c>
      <c r="G42" s="15"/>
      <c r="H42" s="5"/>
      <c r="I42" s="15">
        <v>38.0</v>
      </c>
      <c r="J42" s="15">
        <v>101.0</v>
      </c>
      <c r="K42" s="15">
        <v>44.0</v>
      </c>
      <c r="L42" s="15">
        <v>8.0</v>
      </c>
      <c r="M42" s="15">
        <v>44.0</v>
      </c>
      <c r="N42" s="15">
        <v>24.91776</v>
      </c>
      <c r="O42" s="2"/>
      <c r="P42" s="16" t="b">
        <f t="shared" ref="P42:R42" si="41">C42=K42</f>
        <v>1</v>
      </c>
      <c r="Q42" s="16" t="b">
        <f t="shared" si="41"/>
        <v>1</v>
      </c>
      <c r="R42" s="16" t="b">
        <f t="shared" si="41"/>
        <v>1</v>
      </c>
      <c r="S42" s="17">
        <f t="shared" si="3"/>
        <v>101</v>
      </c>
      <c r="T42" s="18">
        <f t="shared" si="4"/>
        <v>3.276068956</v>
      </c>
      <c r="U42" s="8"/>
      <c r="V42" s="8"/>
      <c r="W42" s="2"/>
      <c r="X42" s="2"/>
      <c r="Y42" s="2"/>
      <c r="Z42" s="2"/>
      <c r="AA42" s="2"/>
      <c r="AB42" s="2"/>
      <c r="AC42" s="2"/>
    </row>
    <row r="43">
      <c r="A43" s="15">
        <v>39.0</v>
      </c>
      <c r="B43" s="15">
        <v>327.0</v>
      </c>
      <c r="C43" s="15">
        <v>38.0</v>
      </c>
      <c r="D43" s="15">
        <v>17.0</v>
      </c>
      <c r="E43" s="15">
        <v>63.0</v>
      </c>
      <c r="F43" s="15">
        <v>264.8982</v>
      </c>
      <c r="G43" s="15"/>
      <c r="H43" s="5"/>
      <c r="I43" s="15">
        <v>39.0</v>
      </c>
      <c r="J43" s="15">
        <v>327.0</v>
      </c>
      <c r="K43" s="15">
        <v>38.0</v>
      </c>
      <c r="L43" s="15">
        <v>17.0</v>
      </c>
      <c r="M43" s="15">
        <v>63.0</v>
      </c>
      <c r="N43" s="15">
        <v>33.07933</v>
      </c>
      <c r="O43" s="2"/>
      <c r="P43" s="16" t="b">
        <f t="shared" ref="P43:R43" si="42">C43=K43</f>
        <v>1</v>
      </c>
      <c r="Q43" s="16" t="b">
        <f t="shared" si="42"/>
        <v>1</v>
      </c>
      <c r="R43" s="16" t="b">
        <f t="shared" si="42"/>
        <v>1</v>
      </c>
      <c r="S43" s="17">
        <f t="shared" si="3"/>
        <v>327</v>
      </c>
      <c r="T43" s="18">
        <f t="shared" si="4"/>
        <v>8.007967513</v>
      </c>
      <c r="U43" s="8"/>
      <c r="V43" s="8"/>
      <c r="W43" s="2"/>
      <c r="X43" s="2"/>
      <c r="Y43" s="2"/>
      <c r="Z43" s="2"/>
      <c r="AA43" s="2"/>
      <c r="AB43" s="2"/>
      <c r="AC43" s="2"/>
    </row>
    <row r="44">
      <c r="A44" s="15">
        <v>40.0</v>
      </c>
      <c r="B44" s="15">
        <v>328.0</v>
      </c>
      <c r="C44" s="15">
        <v>44.0</v>
      </c>
      <c r="D44" s="15">
        <v>241.0</v>
      </c>
      <c r="E44" s="15">
        <v>286.0</v>
      </c>
      <c r="F44" s="15">
        <v>269.2545</v>
      </c>
      <c r="G44" s="15"/>
      <c r="H44" s="5"/>
      <c r="I44" s="15">
        <v>40.0</v>
      </c>
      <c r="J44" s="15">
        <v>328.0</v>
      </c>
      <c r="K44" s="15">
        <v>44.0</v>
      </c>
      <c r="L44" s="15">
        <v>241.0</v>
      </c>
      <c r="M44" s="15">
        <v>286.0</v>
      </c>
      <c r="N44" s="15">
        <v>32.51091</v>
      </c>
      <c r="O44" s="2"/>
      <c r="P44" s="16" t="b">
        <f t="shared" ref="P44:R44" si="43">C44=K44</f>
        <v>1</v>
      </c>
      <c r="Q44" s="16" t="b">
        <f t="shared" si="43"/>
        <v>1</v>
      </c>
      <c r="R44" s="16" t="b">
        <f t="shared" si="43"/>
        <v>1</v>
      </c>
      <c r="S44" s="17">
        <f t="shared" si="3"/>
        <v>328</v>
      </c>
      <c r="T44" s="18">
        <f t="shared" si="4"/>
        <v>8.281973651</v>
      </c>
      <c r="U44" s="8"/>
      <c r="V44" s="8"/>
      <c r="W44" s="2"/>
      <c r="X44" s="2"/>
      <c r="Y44" s="2"/>
      <c r="Z44" s="2"/>
      <c r="AA44" s="2"/>
      <c r="AB44" s="2"/>
      <c r="AC44" s="2"/>
    </row>
    <row r="45">
      <c r="A45" s="15">
        <v>41.0</v>
      </c>
      <c r="B45" s="15">
        <v>273.0</v>
      </c>
      <c r="C45" s="15">
        <v>41.0</v>
      </c>
      <c r="D45" s="15">
        <v>213.0</v>
      </c>
      <c r="E45" s="15">
        <v>262.0</v>
      </c>
      <c r="F45" s="15">
        <v>222.2022</v>
      </c>
      <c r="G45" s="15"/>
      <c r="H45" s="5"/>
      <c r="I45" s="15">
        <v>41.0</v>
      </c>
      <c r="J45" s="15">
        <v>273.0</v>
      </c>
      <c r="K45" s="15">
        <v>41.0</v>
      </c>
      <c r="L45" s="15">
        <v>213.0</v>
      </c>
      <c r="M45" s="15">
        <v>262.0</v>
      </c>
      <c r="N45" s="15">
        <v>32.94419</v>
      </c>
      <c r="O45" s="2"/>
      <c r="P45" s="16" t="b">
        <f t="shared" ref="P45:R45" si="44">C45=K45</f>
        <v>1</v>
      </c>
      <c r="Q45" s="16" t="b">
        <f t="shared" si="44"/>
        <v>1</v>
      </c>
      <c r="R45" s="16" t="b">
        <f t="shared" si="44"/>
        <v>1</v>
      </c>
      <c r="S45" s="17">
        <f t="shared" si="3"/>
        <v>273</v>
      </c>
      <c r="T45" s="18">
        <f t="shared" si="4"/>
        <v>6.744806899</v>
      </c>
      <c r="U45" s="8"/>
      <c r="V45" s="8"/>
      <c r="W45" s="2"/>
      <c r="X45" s="2"/>
      <c r="Y45" s="2"/>
      <c r="Z45" s="2"/>
      <c r="AA45" s="2"/>
      <c r="AB45" s="2"/>
      <c r="AC45" s="2"/>
    </row>
    <row r="46">
      <c r="A46" s="15">
        <v>42.0</v>
      </c>
      <c r="B46" s="15">
        <v>215.0</v>
      </c>
      <c r="C46" s="15">
        <v>41.0</v>
      </c>
      <c r="D46" s="15">
        <v>70.0</v>
      </c>
      <c r="E46" s="15">
        <v>108.0</v>
      </c>
      <c r="F46" s="15">
        <v>172.8982</v>
      </c>
      <c r="G46" s="15"/>
      <c r="H46" s="5"/>
      <c r="I46" s="15">
        <v>42.0</v>
      </c>
      <c r="J46" s="15">
        <v>215.0</v>
      </c>
      <c r="K46" s="15">
        <v>41.0</v>
      </c>
      <c r="L46" s="15">
        <v>70.0</v>
      </c>
      <c r="M46" s="15">
        <v>108.0</v>
      </c>
      <c r="N46" s="15">
        <v>28.1129</v>
      </c>
      <c r="O46" s="2"/>
      <c r="P46" s="16" t="b">
        <f t="shared" ref="P46:R46" si="45">C46=K46</f>
        <v>1</v>
      </c>
      <c r="Q46" s="16" t="b">
        <f t="shared" si="45"/>
        <v>1</v>
      </c>
      <c r="R46" s="16" t="b">
        <f t="shared" si="45"/>
        <v>1</v>
      </c>
      <c r="S46" s="17">
        <f t="shared" si="3"/>
        <v>215</v>
      </c>
      <c r="T46" s="18">
        <f t="shared" si="4"/>
        <v>6.150137481</v>
      </c>
      <c r="U46" s="8"/>
      <c r="V46" s="8"/>
      <c r="W46" s="2"/>
      <c r="X46" s="2"/>
      <c r="Y46" s="2"/>
      <c r="Z46" s="2"/>
      <c r="AA46" s="2"/>
      <c r="AB46" s="2"/>
      <c r="AC46" s="2"/>
    </row>
    <row r="47">
      <c r="A47" s="15">
        <v>43.0</v>
      </c>
      <c r="B47" s="15">
        <v>221.0</v>
      </c>
      <c r="C47" s="15">
        <v>45.0</v>
      </c>
      <c r="D47" s="15">
        <v>118.0</v>
      </c>
      <c r="E47" s="15">
        <v>155.0</v>
      </c>
      <c r="F47" s="15">
        <v>178.9753</v>
      </c>
      <c r="G47" s="15"/>
      <c r="H47" s="5"/>
      <c r="I47" s="15">
        <v>43.0</v>
      </c>
      <c r="J47" s="15">
        <v>221.0</v>
      </c>
      <c r="K47" s="15">
        <v>45.0</v>
      </c>
      <c r="L47" s="15">
        <v>118.0</v>
      </c>
      <c r="M47" s="15">
        <v>155.0</v>
      </c>
      <c r="N47" s="15">
        <v>27.92243</v>
      </c>
      <c r="O47" s="2"/>
      <c r="P47" s="16" t="b">
        <f t="shared" ref="P47:R47" si="46">C47=K47</f>
        <v>1</v>
      </c>
      <c r="Q47" s="16" t="b">
        <f t="shared" si="46"/>
        <v>1</v>
      </c>
      <c r="R47" s="16" t="b">
        <f t="shared" si="46"/>
        <v>1</v>
      </c>
      <c r="S47" s="17">
        <f t="shared" si="3"/>
        <v>221</v>
      </c>
      <c r="T47" s="18">
        <f t="shared" si="4"/>
        <v>6.409732248</v>
      </c>
      <c r="U47" s="8"/>
      <c r="V47" s="8"/>
      <c r="W47" s="2"/>
      <c r="X47" s="2"/>
      <c r="Y47" s="2"/>
      <c r="Z47" s="2"/>
      <c r="AA47" s="2"/>
      <c r="AB47" s="2"/>
      <c r="AC47" s="2"/>
    </row>
    <row r="48">
      <c r="A48" s="15">
        <v>44.0</v>
      </c>
      <c r="B48" s="15">
        <v>528.0</v>
      </c>
      <c r="C48" s="15">
        <v>48.0</v>
      </c>
      <c r="D48" s="15">
        <v>177.0</v>
      </c>
      <c r="E48" s="15">
        <v>227.0</v>
      </c>
      <c r="F48" s="15">
        <v>426.2455</v>
      </c>
      <c r="G48" s="15"/>
      <c r="H48" s="5"/>
      <c r="I48" s="15">
        <v>44.0</v>
      </c>
      <c r="J48" s="15">
        <v>528.0</v>
      </c>
      <c r="K48" s="15">
        <v>48.0</v>
      </c>
      <c r="L48" s="15">
        <v>177.0</v>
      </c>
      <c r="M48" s="15">
        <v>227.0</v>
      </c>
      <c r="N48" s="15">
        <v>39.49875</v>
      </c>
      <c r="O48" s="2"/>
      <c r="P48" s="16" t="b">
        <f t="shared" ref="P48:R48" si="47">C48=K48</f>
        <v>1</v>
      </c>
      <c r="Q48" s="16" t="b">
        <f t="shared" si="47"/>
        <v>1</v>
      </c>
      <c r="R48" s="16" t="b">
        <f t="shared" si="47"/>
        <v>1</v>
      </c>
      <c r="S48" s="17">
        <f t="shared" si="3"/>
        <v>528</v>
      </c>
      <c r="T48" s="18">
        <f t="shared" si="4"/>
        <v>10.79136682</v>
      </c>
      <c r="U48" s="8"/>
      <c r="V48" s="8"/>
      <c r="W48" s="2"/>
      <c r="X48" s="2"/>
      <c r="Y48" s="2"/>
      <c r="Z48" s="2"/>
      <c r="AA48" s="2"/>
      <c r="AB48" s="2"/>
      <c r="AC48" s="2"/>
    </row>
    <row r="49">
      <c r="A49" s="15">
        <v>45.0</v>
      </c>
      <c r="B49" s="15">
        <v>665.0</v>
      </c>
      <c r="C49" s="15">
        <v>50.0</v>
      </c>
      <c r="D49" s="15">
        <v>253.0</v>
      </c>
      <c r="E49" s="15">
        <v>311.0</v>
      </c>
      <c r="F49" s="15">
        <v>551.2449</v>
      </c>
      <c r="G49" s="15"/>
      <c r="H49" s="5"/>
      <c r="I49" s="15">
        <v>45.0</v>
      </c>
      <c r="J49" s="15">
        <v>665.0</v>
      </c>
      <c r="K49" s="15">
        <v>50.0</v>
      </c>
      <c r="L49" s="15">
        <v>253.0</v>
      </c>
      <c r="M49" s="15">
        <v>311.0</v>
      </c>
      <c r="N49" s="15">
        <v>45.19959</v>
      </c>
      <c r="O49" s="2"/>
      <c r="P49" s="16" t="b">
        <f t="shared" ref="P49:R49" si="48">C49=K49</f>
        <v>1</v>
      </c>
      <c r="Q49" s="16" t="b">
        <f t="shared" si="48"/>
        <v>1</v>
      </c>
      <c r="R49" s="16" t="b">
        <f t="shared" si="48"/>
        <v>1</v>
      </c>
      <c r="S49" s="17">
        <f t="shared" si="3"/>
        <v>665</v>
      </c>
      <c r="T49" s="18">
        <f t="shared" si="4"/>
        <v>12.19579425</v>
      </c>
      <c r="U49" s="8"/>
      <c r="V49" s="8"/>
      <c r="W49" s="2"/>
      <c r="X49" s="2"/>
      <c r="Y49" s="2"/>
      <c r="Z49" s="2"/>
      <c r="AA49" s="2"/>
      <c r="AB49" s="2"/>
      <c r="AC49" s="2"/>
    </row>
    <row r="50">
      <c r="A50" s="15">
        <v>46.0</v>
      </c>
      <c r="B50" s="15">
        <v>291.0</v>
      </c>
      <c r="C50" s="15">
        <v>58.0</v>
      </c>
      <c r="D50" s="15">
        <v>122.0</v>
      </c>
      <c r="E50" s="15">
        <v>147.0</v>
      </c>
      <c r="F50" s="15">
        <v>235.5432</v>
      </c>
      <c r="G50" s="15"/>
      <c r="H50" s="5"/>
      <c r="I50" s="15">
        <v>46.0</v>
      </c>
      <c r="J50" s="15">
        <v>291.0</v>
      </c>
      <c r="K50" s="15">
        <v>58.0</v>
      </c>
      <c r="L50" s="15">
        <v>122.0</v>
      </c>
      <c r="M50" s="15">
        <v>147.0</v>
      </c>
      <c r="N50" s="15">
        <v>27.08787</v>
      </c>
      <c r="O50" s="2"/>
      <c r="P50" s="16" t="b">
        <f t="shared" ref="P50:R50" si="49">C50=K50</f>
        <v>1</v>
      </c>
      <c r="Q50" s="16" t="b">
        <f t="shared" si="49"/>
        <v>1</v>
      </c>
      <c r="R50" s="16" t="b">
        <f t="shared" si="49"/>
        <v>1</v>
      </c>
      <c r="S50" s="17">
        <f t="shared" si="3"/>
        <v>291</v>
      </c>
      <c r="T50" s="18">
        <f t="shared" si="4"/>
        <v>8.695523125</v>
      </c>
      <c r="U50" s="8"/>
      <c r="V50" s="8"/>
      <c r="W50" s="2"/>
      <c r="X50" s="2"/>
      <c r="Y50" s="2"/>
      <c r="Z50" s="2"/>
      <c r="AA50" s="2"/>
      <c r="AB50" s="2"/>
      <c r="AC50" s="2"/>
    </row>
    <row r="51">
      <c r="A51" s="15">
        <v>47.0</v>
      </c>
      <c r="B51" s="15">
        <v>379.0</v>
      </c>
      <c r="C51" s="15">
        <v>45.0</v>
      </c>
      <c r="D51" s="15">
        <v>101.0</v>
      </c>
      <c r="E51" s="15">
        <v>148.0</v>
      </c>
      <c r="F51" s="15">
        <v>307.9254</v>
      </c>
      <c r="G51" s="15"/>
      <c r="H51" s="5"/>
      <c r="I51" s="15">
        <v>47.0</v>
      </c>
      <c r="J51" s="15">
        <v>379.0</v>
      </c>
      <c r="K51" s="15">
        <v>45.0</v>
      </c>
      <c r="L51" s="15">
        <v>101.0</v>
      </c>
      <c r="M51" s="15">
        <v>148.0</v>
      </c>
      <c r="N51" s="15">
        <v>35.01389</v>
      </c>
      <c r="O51" s="2"/>
      <c r="P51" s="16" t="b">
        <f t="shared" ref="P51:R51" si="50">C51=K51</f>
        <v>1</v>
      </c>
      <c r="Q51" s="16" t="b">
        <f t="shared" si="50"/>
        <v>1</v>
      </c>
      <c r="R51" s="16" t="b">
        <f t="shared" si="50"/>
        <v>1</v>
      </c>
      <c r="S51" s="17">
        <f t="shared" si="3"/>
        <v>379</v>
      </c>
      <c r="T51" s="18">
        <f t="shared" si="4"/>
        <v>8.79437846</v>
      </c>
      <c r="U51" s="8"/>
      <c r="V51" s="8"/>
      <c r="W51" s="2"/>
      <c r="X51" s="2"/>
      <c r="Y51" s="2"/>
      <c r="Z51" s="2"/>
      <c r="AA51" s="2"/>
      <c r="AB51" s="2"/>
      <c r="AC51" s="2"/>
    </row>
    <row r="52">
      <c r="A52" s="15">
        <v>48.0</v>
      </c>
      <c r="B52" s="15">
        <v>233.0</v>
      </c>
      <c r="C52" s="15">
        <v>37.0</v>
      </c>
      <c r="D52" s="15">
        <v>29.0</v>
      </c>
      <c r="E52" s="15">
        <v>63.0</v>
      </c>
      <c r="F52" s="15">
        <v>188.1662</v>
      </c>
      <c r="G52" s="15"/>
      <c r="H52" s="5"/>
      <c r="I52" s="15">
        <v>48.0</v>
      </c>
      <c r="J52" s="15">
        <v>233.0</v>
      </c>
      <c r="K52" s="15">
        <v>37.0</v>
      </c>
      <c r="L52" s="15">
        <v>29.0</v>
      </c>
      <c r="M52" s="15">
        <v>63.0</v>
      </c>
      <c r="N52" s="15">
        <v>28.76723</v>
      </c>
      <c r="O52" s="2"/>
      <c r="P52" s="16" t="b">
        <f t="shared" ref="P52:R52" si="51">C52=K52</f>
        <v>1</v>
      </c>
      <c r="Q52" s="16" t="b">
        <f t="shared" si="51"/>
        <v>1</v>
      </c>
      <c r="R52" s="16" t="b">
        <f t="shared" si="51"/>
        <v>1</v>
      </c>
      <c r="S52" s="17">
        <f t="shared" si="3"/>
        <v>233</v>
      </c>
      <c r="T52" s="18">
        <f t="shared" si="4"/>
        <v>6.54099126</v>
      </c>
      <c r="U52" s="8"/>
      <c r="V52" s="8"/>
      <c r="W52" s="2"/>
      <c r="X52" s="2"/>
      <c r="Y52" s="2"/>
      <c r="Z52" s="2"/>
      <c r="AA52" s="2"/>
      <c r="AB52" s="2"/>
      <c r="AC52" s="2"/>
    </row>
    <row r="53">
      <c r="A53" s="15">
        <v>49.0</v>
      </c>
      <c r="B53" s="15">
        <v>387.0</v>
      </c>
      <c r="C53" s="15">
        <v>48.0</v>
      </c>
      <c r="D53" s="15">
        <v>177.0</v>
      </c>
      <c r="E53" s="15">
        <v>207.0</v>
      </c>
      <c r="F53" s="15">
        <v>322.7481</v>
      </c>
      <c r="G53" s="15"/>
      <c r="H53" s="5"/>
      <c r="I53" s="15">
        <v>49.0</v>
      </c>
      <c r="J53" s="15">
        <v>387.0</v>
      </c>
      <c r="K53" s="15">
        <v>48.0</v>
      </c>
      <c r="L53" s="15">
        <v>177.0</v>
      </c>
      <c r="M53" s="15">
        <v>207.0</v>
      </c>
      <c r="N53" s="15">
        <v>32.12903</v>
      </c>
      <c r="O53" s="2"/>
      <c r="P53" s="16" t="b">
        <f t="shared" ref="P53:R53" si="52">C53=K53</f>
        <v>1</v>
      </c>
      <c r="Q53" s="16" t="b">
        <f t="shared" si="52"/>
        <v>1</v>
      </c>
      <c r="R53" s="16" t="b">
        <f t="shared" si="52"/>
        <v>1</v>
      </c>
      <c r="S53" s="17">
        <f t="shared" si="3"/>
        <v>387</v>
      </c>
      <c r="T53" s="18">
        <f t="shared" si="4"/>
        <v>10.0453733</v>
      </c>
      <c r="U53" s="8"/>
      <c r="V53" s="8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5"/>
      <c r="I54" s="15"/>
      <c r="J54" s="15"/>
      <c r="K54" s="15"/>
      <c r="L54" s="15"/>
      <c r="M54" s="15"/>
      <c r="N54" s="15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5"/>
      <c r="I55" s="15"/>
      <c r="J55" s="15"/>
      <c r="K55" s="15"/>
      <c r="L55" s="15"/>
      <c r="M55" s="15"/>
      <c r="N55" s="15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5"/>
      <c r="I56" s="15"/>
      <c r="J56" s="15"/>
      <c r="K56" s="15"/>
      <c r="L56" s="15"/>
      <c r="M56" s="15"/>
      <c r="N56" s="15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5"/>
      <c r="I57" s="15"/>
      <c r="J57" s="15"/>
      <c r="K57" s="15"/>
      <c r="L57" s="15"/>
      <c r="M57" s="15"/>
      <c r="N57" s="15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5"/>
      <c r="I58" s="15"/>
      <c r="J58" s="15"/>
      <c r="K58" s="15"/>
      <c r="L58" s="15"/>
      <c r="M58" s="15"/>
      <c r="N58" s="15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5"/>
      <c r="I59" s="15"/>
      <c r="J59" s="15"/>
      <c r="K59" s="15"/>
      <c r="L59" s="15"/>
      <c r="M59" s="15"/>
      <c r="N59" s="15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5"/>
      <c r="I60" s="15"/>
      <c r="J60" s="15"/>
      <c r="K60" s="15"/>
      <c r="L60" s="15"/>
      <c r="M60" s="15"/>
      <c r="N60" s="15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5"/>
      <c r="I61" s="15"/>
      <c r="J61" s="15"/>
      <c r="K61" s="15"/>
      <c r="L61" s="15"/>
      <c r="M61" s="15"/>
      <c r="N61" s="15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5"/>
      <c r="I62" s="15"/>
      <c r="J62" s="15"/>
      <c r="K62" s="15"/>
      <c r="L62" s="15"/>
      <c r="M62" s="15"/>
      <c r="N62" s="15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5"/>
      <c r="I63" s="15"/>
      <c r="J63" s="15"/>
      <c r="K63" s="15"/>
      <c r="L63" s="15"/>
      <c r="M63" s="15"/>
      <c r="N63" s="15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5"/>
      <c r="I64" s="15"/>
      <c r="J64" s="15"/>
      <c r="K64" s="15"/>
      <c r="L64" s="15"/>
      <c r="M64" s="15"/>
      <c r="N64" s="15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5"/>
      <c r="I65" s="15"/>
      <c r="J65" s="15"/>
      <c r="K65" s="15"/>
      <c r="L65" s="15"/>
      <c r="M65" s="15"/>
      <c r="N65" s="15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5"/>
      <c r="I66" s="15"/>
      <c r="J66" s="15"/>
      <c r="K66" s="15"/>
      <c r="L66" s="15"/>
      <c r="M66" s="15"/>
      <c r="N66" s="15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5"/>
      <c r="I67" s="15"/>
      <c r="J67" s="15"/>
      <c r="K67" s="15"/>
      <c r="L67" s="15"/>
      <c r="M67" s="15"/>
      <c r="N67" s="15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5"/>
      <c r="I68" s="15"/>
      <c r="J68" s="15"/>
      <c r="K68" s="15"/>
      <c r="L68" s="15"/>
      <c r="M68" s="15"/>
      <c r="N68" s="15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5"/>
      <c r="I69" s="15"/>
      <c r="J69" s="15"/>
      <c r="K69" s="15"/>
      <c r="L69" s="15"/>
      <c r="M69" s="15"/>
      <c r="N69" s="15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5"/>
      <c r="I70" s="15"/>
      <c r="J70" s="15"/>
      <c r="K70" s="15"/>
      <c r="L70" s="15"/>
      <c r="M70" s="15"/>
      <c r="N70" s="15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5"/>
      <c r="I71" s="15"/>
      <c r="J71" s="15"/>
      <c r="K71" s="15"/>
      <c r="L71" s="15"/>
      <c r="M71" s="15"/>
      <c r="N71" s="15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5"/>
      <c r="I72" s="15"/>
      <c r="J72" s="15"/>
      <c r="K72" s="15"/>
      <c r="L72" s="15"/>
      <c r="M72" s="15"/>
      <c r="N72" s="15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5"/>
      <c r="I73" s="15"/>
      <c r="J73" s="15"/>
      <c r="K73" s="15"/>
      <c r="L73" s="15"/>
      <c r="M73" s="15"/>
      <c r="N73" s="15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5"/>
      <c r="I74" s="15"/>
      <c r="J74" s="15"/>
      <c r="K74" s="15"/>
      <c r="L74" s="15"/>
      <c r="M74" s="15"/>
      <c r="N74" s="15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5"/>
      <c r="I75" s="15"/>
      <c r="J75" s="15"/>
      <c r="K75" s="15"/>
      <c r="L75" s="15"/>
      <c r="M75" s="15"/>
      <c r="N75" s="15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5"/>
      <c r="I76" s="15"/>
      <c r="J76" s="15"/>
      <c r="K76" s="15"/>
      <c r="L76" s="15"/>
      <c r="M76" s="15"/>
      <c r="N76" s="15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5"/>
      <c r="I77" s="15"/>
      <c r="J77" s="15"/>
      <c r="K77" s="15"/>
      <c r="L77" s="15"/>
      <c r="M77" s="15"/>
      <c r="N77" s="15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5"/>
      <c r="I78" s="15"/>
      <c r="J78" s="15"/>
      <c r="K78" s="15"/>
      <c r="L78" s="15"/>
      <c r="M78" s="15"/>
      <c r="N78" s="15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5"/>
      <c r="I79" s="15"/>
      <c r="J79" s="15"/>
      <c r="K79" s="15"/>
      <c r="L79" s="15"/>
      <c r="M79" s="15"/>
      <c r="N79" s="15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5"/>
      <c r="I80" s="15"/>
      <c r="J80" s="15"/>
      <c r="K80" s="15"/>
      <c r="L80" s="15"/>
      <c r="M80" s="15"/>
      <c r="N80" s="15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5"/>
      <c r="I81" s="15"/>
      <c r="J81" s="15"/>
      <c r="K81" s="15"/>
      <c r="L81" s="15"/>
      <c r="M81" s="15"/>
      <c r="N81" s="15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5"/>
      <c r="I82" s="15"/>
      <c r="J82" s="15"/>
      <c r="K82" s="15"/>
      <c r="L82" s="15"/>
      <c r="M82" s="15"/>
      <c r="N82" s="15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5"/>
      <c r="I83" s="15"/>
      <c r="J83" s="15"/>
      <c r="K83" s="15"/>
      <c r="L83" s="15"/>
      <c r="M83" s="15"/>
      <c r="N83" s="15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5"/>
      <c r="I84" s="15"/>
      <c r="J84" s="15"/>
      <c r="K84" s="15"/>
      <c r="L84" s="15"/>
      <c r="M84" s="15"/>
      <c r="N84" s="15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5"/>
      <c r="I85" s="15"/>
      <c r="J85" s="15"/>
      <c r="K85" s="15"/>
      <c r="L85" s="15"/>
      <c r="M85" s="15"/>
      <c r="N85" s="15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5"/>
      <c r="I86" s="15"/>
      <c r="J86" s="15"/>
      <c r="K86" s="15"/>
      <c r="L86" s="15"/>
      <c r="M86" s="15"/>
      <c r="N86" s="15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5"/>
      <c r="I87" s="15"/>
      <c r="J87" s="15"/>
      <c r="K87" s="15"/>
      <c r="L87" s="15"/>
      <c r="M87" s="15"/>
      <c r="N87" s="15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5"/>
      <c r="I88" s="15"/>
      <c r="J88" s="15"/>
      <c r="K88" s="15"/>
      <c r="L88" s="15"/>
      <c r="M88" s="15"/>
      <c r="N88" s="15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5"/>
      <c r="I89" s="15"/>
      <c r="J89" s="15"/>
      <c r="K89" s="15"/>
      <c r="L89" s="15"/>
      <c r="M89" s="15"/>
      <c r="N89" s="15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5"/>
      <c r="I90" s="15"/>
      <c r="J90" s="15"/>
      <c r="K90" s="15"/>
      <c r="L90" s="15"/>
      <c r="M90" s="15"/>
      <c r="N90" s="15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5"/>
      <c r="I91" s="15"/>
      <c r="J91" s="15"/>
      <c r="K91" s="15"/>
      <c r="L91" s="15"/>
      <c r="M91" s="15"/>
      <c r="N91" s="15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5"/>
      <c r="I92" s="15"/>
      <c r="J92" s="15"/>
      <c r="K92" s="15"/>
      <c r="L92" s="15"/>
      <c r="M92" s="15"/>
      <c r="N92" s="15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5"/>
      <c r="I93" s="15"/>
      <c r="J93" s="15"/>
      <c r="K93" s="15"/>
      <c r="L93" s="15"/>
      <c r="M93" s="15"/>
      <c r="N93" s="15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5"/>
      <c r="I94" s="15"/>
      <c r="J94" s="15"/>
      <c r="K94" s="15"/>
      <c r="L94" s="15"/>
      <c r="M94" s="15"/>
      <c r="N94" s="15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5"/>
      <c r="I95" s="15"/>
      <c r="J95" s="15"/>
      <c r="K95" s="15"/>
      <c r="L95" s="15"/>
      <c r="M95" s="15"/>
      <c r="N95" s="15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5"/>
      <c r="I96" s="15"/>
      <c r="J96" s="15"/>
      <c r="K96" s="15"/>
      <c r="L96" s="15"/>
      <c r="M96" s="15"/>
      <c r="N96" s="15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5"/>
      <c r="I97" s="15"/>
      <c r="J97" s="15"/>
      <c r="K97" s="15"/>
      <c r="L97" s="15"/>
      <c r="M97" s="15"/>
      <c r="N97" s="15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5"/>
      <c r="I98" s="15"/>
      <c r="J98" s="15"/>
      <c r="K98" s="15"/>
      <c r="L98" s="15"/>
      <c r="M98" s="15"/>
      <c r="N98" s="15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5"/>
      <c r="I99" s="15"/>
      <c r="J99" s="15"/>
      <c r="K99" s="15"/>
      <c r="L99" s="15"/>
      <c r="M99" s="15"/>
      <c r="N99" s="15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5"/>
      <c r="I100" s="15"/>
      <c r="J100" s="15"/>
      <c r="K100" s="15"/>
      <c r="L100" s="15"/>
      <c r="M100" s="15"/>
      <c r="N100" s="15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5"/>
      <c r="I101" s="15"/>
      <c r="J101" s="15"/>
      <c r="K101" s="15"/>
      <c r="L101" s="15"/>
      <c r="M101" s="15"/>
      <c r="N101" s="15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5"/>
      <c r="I102" s="15"/>
      <c r="J102" s="15"/>
      <c r="K102" s="15"/>
      <c r="L102" s="15"/>
      <c r="M102" s="15"/>
      <c r="N102" s="15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5"/>
      <c r="I103" s="15"/>
      <c r="J103" s="15"/>
      <c r="K103" s="15"/>
      <c r="L103" s="15"/>
      <c r="M103" s="15"/>
      <c r="N103" s="15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5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5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5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5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5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5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5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5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5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5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5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5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5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5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5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5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5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5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5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5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5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5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5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5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5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5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5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5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5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5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5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5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5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5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5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5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5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5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5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5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5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5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5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5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5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5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5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5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5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5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5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5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5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5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5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5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5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5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5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5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5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5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5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5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5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5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5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5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5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5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5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5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5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5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5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5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5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5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5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5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5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5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5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5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5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5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5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5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5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5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5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5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5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5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5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5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5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5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5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5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5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5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5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5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5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5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5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5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5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5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5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5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5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5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5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5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5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5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5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5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5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5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5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5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5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5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5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5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5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5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5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5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5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5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5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5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5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5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5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5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5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5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5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5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5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5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5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5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5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5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5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5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5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5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5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5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5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5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5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5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5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5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5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5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5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5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5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5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5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5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5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5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5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5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5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5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5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5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5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5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5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5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5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5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5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5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5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5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5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5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5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5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5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5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5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5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5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5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5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5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5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5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5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5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5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5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5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5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5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5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5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5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5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5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5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5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5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5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5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5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5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5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5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5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5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5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5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5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5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5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5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5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5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5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5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5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5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5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5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5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5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5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5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5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5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5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5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5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5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5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5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5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5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5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5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5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5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5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5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5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5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5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5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5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5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5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5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5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5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5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5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5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5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5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5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5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5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5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5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5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5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5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5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5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5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5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5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5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5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5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5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5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5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5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5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5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5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5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5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5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5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5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5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5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5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5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5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5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5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5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5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5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5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5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5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5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5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5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5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5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5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5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5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5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5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5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5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5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5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5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5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5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5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5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5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5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5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5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5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5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5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5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5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5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5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5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5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5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5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5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5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5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5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5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5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5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5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5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5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5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5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5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5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5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5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5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5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5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5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5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5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5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5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5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5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5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5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5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5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5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5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5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5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5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5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5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5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5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5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5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5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5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5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5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5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5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5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5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5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5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5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5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5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5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5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5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5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5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5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5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5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5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5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5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5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5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5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5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5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5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5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5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5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5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5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5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5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5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5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5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5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5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5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5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5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5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5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5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5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5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5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5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5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5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5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5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5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5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5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5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5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5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5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5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5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5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5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5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5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5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5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5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5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5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5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5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5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5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5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5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5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5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5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5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5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5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5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5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5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5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5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5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5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5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5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5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5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5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5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5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5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5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5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5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5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5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5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5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5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5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5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5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5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5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5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5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5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5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5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5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5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5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5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5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5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5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5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5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5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5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5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5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5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5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5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5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5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5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5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5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5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5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5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5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5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5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5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5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5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5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5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5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5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5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5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5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5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5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5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5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5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5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5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5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5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5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5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5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5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5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5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5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5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5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5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5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5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5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5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5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5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5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5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5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5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5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5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5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5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5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5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5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5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5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5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5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5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5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5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5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5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5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5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5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5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5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5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5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5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5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5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5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5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5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5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5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5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5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5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5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5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5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5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5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5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5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5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5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5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5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5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5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5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5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5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5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5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5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5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5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5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5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5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5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5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5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5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5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5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5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5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5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5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5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5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5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5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5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5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5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5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5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5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5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5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5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5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5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5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5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5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5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5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5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5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5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5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5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5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5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5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5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5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5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5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5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5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5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5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5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5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5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5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5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5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5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5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5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5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5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5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5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5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5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5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5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5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5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5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5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5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5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5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5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5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5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5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5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5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5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5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5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5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5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5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5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5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5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5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5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5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5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5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5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5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5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5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5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5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5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5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5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5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5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5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O1"/>
    <mergeCell ref="A2:G2"/>
    <mergeCell ref="I2:N2"/>
    <mergeCell ref="P2:R2"/>
    <mergeCell ref="T2:V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18</v>
      </c>
      <c r="J1" s="2"/>
      <c r="K1" s="3" t="s">
        <v>19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4" t="s">
        <v>2</v>
      </c>
      <c r="H2" s="5"/>
      <c r="I2" s="6" t="s">
        <v>3</v>
      </c>
      <c r="P2" s="7" t="s">
        <v>4</v>
      </c>
      <c r="S2" s="8"/>
      <c r="T2" s="9" t="s">
        <v>5</v>
      </c>
      <c r="W2" s="2"/>
      <c r="X2" s="2"/>
      <c r="Y2" s="2"/>
      <c r="Z2" s="2"/>
      <c r="AA2" s="2"/>
      <c r="AB2" s="2"/>
      <c r="AC2" s="2"/>
    </row>
    <row r="3">
      <c r="A3" s="10" t="s">
        <v>6</v>
      </c>
      <c r="B3" s="10" t="s">
        <v>7</v>
      </c>
      <c r="C3" s="10" t="s">
        <v>8</v>
      </c>
      <c r="D3" s="10" t="s">
        <v>9</v>
      </c>
      <c r="E3" s="10" t="s">
        <v>10</v>
      </c>
      <c r="F3" s="11" t="s">
        <v>11</v>
      </c>
      <c r="G3" s="11"/>
      <c r="H3" s="12" t="s">
        <v>12</v>
      </c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  <c r="N3" s="11" t="s">
        <v>11</v>
      </c>
      <c r="O3" s="11" t="s">
        <v>20</v>
      </c>
      <c r="P3" s="13" t="s">
        <v>8</v>
      </c>
      <c r="Q3" s="13" t="s">
        <v>13</v>
      </c>
      <c r="R3" s="13" t="s">
        <v>10</v>
      </c>
      <c r="S3" s="13" t="s">
        <v>7</v>
      </c>
      <c r="T3" s="14" t="s">
        <v>5</v>
      </c>
      <c r="U3" s="8"/>
      <c r="V3" s="8"/>
      <c r="W3" s="2"/>
      <c r="X3" s="2"/>
      <c r="Y3" s="2"/>
      <c r="Z3" s="2"/>
      <c r="AA3" s="2"/>
      <c r="AB3" s="2"/>
      <c r="AC3" s="2"/>
    </row>
    <row r="4">
      <c r="A4" s="15">
        <v>0.0</v>
      </c>
      <c r="B4" s="15">
        <v>847.0</v>
      </c>
      <c r="C4" s="15">
        <v>46.0</v>
      </c>
      <c r="D4" s="15">
        <v>749.0</v>
      </c>
      <c r="E4" s="15">
        <v>789.0</v>
      </c>
      <c r="F4" s="15">
        <v>701.2962</v>
      </c>
      <c r="G4" s="15"/>
      <c r="H4" s="5">
        <f>MAX(C:C)</f>
        <v>263</v>
      </c>
      <c r="I4" s="15">
        <v>0.0</v>
      </c>
      <c r="J4" s="15">
        <v>847.0</v>
      </c>
      <c r="K4" s="15">
        <v>46.0</v>
      </c>
      <c r="L4" s="15">
        <v>749.0</v>
      </c>
      <c r="M4" s="15">
        <v>789.0</v>
      </c>
      <c r="N4" s="15">
        <v>57.80787</v>
      </c>
      <c r="O4" s="2"/>
      <c r="P4" s="16" t="b">
        <f t="shared" ref="P4:R4" si="1">C4=K4</f>
        <v>1</v>
      </c>
      <c r="Q4" s="16" t="b">
        <f t="shared" si="1"/>
        <v>1</v>
      </c>
      <c r="R4" s="16" t="b">
        <f t="shared" si="1"/>
        <v>1</v>
      </c>
      <c r="S4" s="17">
        <f t="shared" ref="S4:S53" si="3">J4</f>
        <v>847</v>
      </c>
      <c r="T4" s="18">
        <f t="shared" ref="T4:T53" si="4">F4/N4</f>
        <v>12.13150043</v>
      </c>
      <c r="U4" s="19" t="s">
        <v>14</v>
      </c>
      <c r="V4" s="20">
        <f>AVERAGE(T:T)</f>
        <v>7.842989379</v>
      </c>
      <c r="W4" s="2"/>
      <c r="X4" s="2"/>
      <c r="Y4" s="2"/>
      <c r="Z4" s="2"/>
      <c r="AA4" s="2"/>
      <c r="AB4" s="2"/>
      <c r="AC4" s="2"/>
    </row>
    <row r="5">
      <c r="A5" s="15">
        <v>1.0</v>
      </c>
      <c r="B5" s="15">
        <v>473.0</v>
      </c>
      <c r="C5" s="15">
        <v>52.0</v>
      </c>
      <c r="D5" s="15">
        <v>25.0</v>
      </c>
      <c r="E5" s="15">
        <v>64.0</v>
      </c>
      <c r="F5" s="15">
        <v>387.0561</v>
      </c>
      <c r="G5" s="15"/>
      <c r="H5" s="12" t="s">
        <v>15</v>
      </c>
      <c r="I5" s="15">
        <v>1.0</v>
      </c>
      <c r="J5" s="15">
        <v>473.0</v>
      </c>
      <c r="K5" s="15">
        <v>52.0</v>
      </c>
      <c r="L5" s="15">
        <v>25.0</v>
      </c>
      <c r="M5" s="15">
        <v>64.0</v>
      </c>
      <c r="N5" s="15">
        <v>41.65939</v>
      </c>
      <c r="O5" s="2"/>
      <c r="P5" s="16" t="b">
        <f t="shared" ref="P5:R5" si="2">C5=K5</f>
        <v>1</v>
      </c>
      <c r="Q5" s="16" t="b">
        <f t="shared" si="2"/>
        <v>1</v>
      </c>
      <c r="R5" s="16" t="b">
        <f t="shared" si="2"/>
        <v>1</v>
      </c>
      <c r="S5" s="17">
        <f t="shared" si="3"/>
        <v>473</v>
      </c>
      <c r="T5" s="18">
        <f t="shared" si="4"/>
        <v>9.290968975</v>
      </c>
      <c r="U5" s="19" t="s">
        <v>16</v>
      </c>
      <c r="V5" s="20">
        <f>max(T:T)</f>
        <v>18.90196131</v>
      </c>
      <c r="W5" s="2"/>
      <c r="X5" s="2"/>
      <c r="Y5" s="2"/>
      <c r="Z5" s="2"/>
      <c r="AA5" s="2"/>
      <c r="AB5" s="2"/>
      <c r="AC5" s="2"/>
    </row>
    <row r="6">
      <c r="A6" s="15">
        <v>2.0</v>
      </c>
      <c r="B6" s="15">
        <v>74.0</v>
      </c>
      <c r="C6" s="15">
        <v>45.0</v>
      </c>
      <c r="D6" s="15">
        <v>30.0</v>
      </c>
      <c r="E6" s="15">
        <v>73.0</v>
      </c>
      <c r="F6" s="15">
        <v>60.5435</v>
      </c>
      <c r="G6" s="15"/>
      <c r="H6" s="5">
        <f t="array" ref="H6">INDEX(A:A, MATCH(H4, C:C, 0))</f>
        <v>6</v>
      </c>
      <c r="I6" s="15">
        <v>2.0</v>
      </c>
      <c r="J6" s="15">
        <v>74.0</v>
      </c>
      <c r="K6" s="15">
        <v>45.0</v>
      </c>
      <c r="L6" s="15">
        <v>30.0</v>
      </c>
      <c r="M6" s="15">
        <v>73.0</v>
      </c>
      <c r="N6" s="15">
        <v>26.85133</v>
      </c>
      <c r="O6" s="2"/>
      <c r="P6" s="16" t="b">
        <f t="shared" ref="P6:R6" si="5">C6=K6</f>
        <v>1</v>
      </c>
      <c r="Q6" s="16" t="b">
        <f t="shared" si="5"/>
        <v>1</v>
      </c>
      <c r="R6" s="16" t="b">
        <f t="shared" si="5"/>
        <v>1</v>
      </c>
      <c r="S6" s="17">
        <f t="shared" si="3"/>
        <v>74</v>
      </c>
      <c r="T6" s="18">
        <f t="shared" si="4"/>
        <v>2.254767269</v>
      </c>
      <c r="U6" s="19" t="s">
        <v>17</v>
      </c>
      <c r="V6" s="20">
        <f>MIN(T:T)</f>
        <v>2.073025757</v>
      </c>
      <c r="W6" s="2"/>
      <c r="X6" s="2"/>
      <c r="Y6" s="2"/>
      <c r="Z6" s="2"/>
      <c r="AA6" s="2"/>
      <c r="AB6" s="2"/>
      <c r="AC6" s="2"/>
    </row>
    <row r="7">
      <c r="A7" s="15">
        <v>3.0</v>
      </c>
      <c r="B7" s="15">
        <v>640.0</v>
      </c>
      <c r="C7" s="15">
        <v>46.0</v>
      </c>
      <c r="D7" s="15">
        <v>133.0</v>
      </c>
      <c r="E7" s="15">
        <v>177.0</v>
      </c>
      <c r="F7" s="15">
        <v>519.772</v>
      </c>
      <c r="G7" s="15"/>
      <c r="H7" s="5"/>
      <c r="I7" s="15">
        <v>3.0</v>
      </c>
      <c r="J7" s="15">
        <v>640.0</v>
      </c>
      <c r="K7" s="15">
        <v>46.0</v>
      </c>
      <c r="L7" s="15">
        <v>133.0</v>
      </c>
      <c r="M7" s="15">
        <v>177.0</v>
      </c>
      <c r="N7" s="15">
        <v>54.1737</v>
      </c>
      <c r="O7" s="2"/>
      <c r="P7" s="16" t="b">
        <f t="shared" ref="P7:R7" si="6">C7=K7</f>
        <v>1</v>
      </c>
      <c r="Q7" s="16" t="b">
        <f t="shared" si="6"/>
        <v>1</v>
      </c>
      <c r="R7" s="16" t="b">
        <f t="shared" si="6"/>
        <v>1</v>
      </c>
      <c r="S7" s="17">
        <f t="shared" si="3"/>
        <v>640</v>
      </c>
      <c r="T7" s="18">
        <f t="shared" si="4"/>
        <v>9.594544954</v>
      </c>
      <c r="U7" s="8"/>
      <c r="V7" s="8"/>
      <c r="W7" s="2"/>
      <c r="X7" s="2"/>
      <c r="Y7" s="2"/>
      <c r="Z7" s="2"/>
      <c r="AA7" s="2"/>
      <c r="AB7" s="2"/>
      <c r="AC7" s="2"/>
    </row>
    <row r="8">
      <c r="A8" s="15">
        <v>4.0</v>
      </c>
      <c r="B8" s="15">
        <v>362.0</v>
      </c>
      <c r="C8" s="15">
        <v>47.0</v>
      </c>
      <c r="D8" s="15">
        <v>1.0</v>
      </c>
      <c r="E8" s="15">
        <v>43.0</v>
      </c>
      <c r="F8" s="15">
        <v>292.9162</v>
      </c>
      <c r="G8" s="15"/>
      <c r="H8" s="5"/>
      <c r="I8" s="15">
        <v>4.0</v>
      </c>
      <c r="J8" s="15">
        <v>362.0</v>
      </c>
      <c r="K8" s="15">
        <v>47.0</v>
      </c>
      <c r="L8" s="15">
        <v>1.0</v>
      </c>
      <c r="M8" s="15">
        <v>43.0</v>
      </c>
      <c r="N8" s="15">
        <v>38.6007</v>
      </c>
      <c r="O8" s="2"/>
      <c r="P8" s="16" t="b">
        <f t="shared" ref="P8:R8" si="7">C8=K8</f>
        <v>1</v>
      </c>
      <c r="Q8" s="16" t="b">
        <f t="shared" si="7"/>
        <v>1</v>
      </c>
      <c r="R8" s="16" t="b">
        <f t="shared" si="7"/>
        <v>1</v>
      </c>
      <c r="S8" s="17">
        <f t="shared" si="3"/>
        <v>362</v>
      </c>
      <c r="T8" s="18">
        <f t="shared" si="4"/>
        <v>7.588364978</v>
      </c>
      <c r="U8" s="8"/>
      <c r="V8" s="8"/>
      <c r="W8" s="2"/>
      <c r="X8" s="2"/>
      <c r="Y8" s="2"/>
      <c r="Z8" s="2"/>
      <c r="AA8" s="2"/>
      <c r="AB8" s="2"/>
      <c r="AC8" s="2"/>
    </row>
    <row r="9">
      <c r="A9" s="15">
        <v>5.0</v>
      </c>
      <c r="B9" s="15">
        <v>300.0</v>
      </c>
      <c r="C9" s="15">
        <v>52.0</v>
      </c>
      <c r="D9" s="15">
        <v>25.0</v>
      </c>
      <c r="E9" s="15">
        <v>80.0</v>
      </c>
      <c r="F9" s="15">
        <v>244.3962</v>
      </c>
      <c r="G9" s="15"/>
      <c r="H9" s="5"/>
      <c r="I9" s="15">
        <v>5.0</v>
      </c>
      <c r="J9" s="15">
        <v>300.0</v>
      </c>
      <c r="K9" s="15">
        <v>52.0</v>
      </c>
      <c r="L9" s="15">
        <v>25.0</v>
      </c>
      <c r="M9" s="15">
        <v>80.0</v>
      </c>
      <c r="N9" s="15">
        <v>38.41126</v>
      </c>
      <c r="O9" s="2"/>
      <c r="P9" s="16" t="b">
        <f t="shared" ref="P9:R9" si="8">C9=K9</f>
        <v>1</v>
      </c>
      <c r="Q9" s="16" t="b">
        <f t="shared" si="8"/>
        <v>1</v>
      </c>
      <c r="R9" s="16" t="b">
        <f t="shared" si="8"/>
        <v>1</v>
      </c>
      <c r="S9" s="17">
        <f t="shared" si="3"/>
        <v>300</v>
      </c>
      <c r="T9" s="18">
        <f t="shared" si="4"/>
        <v>6.36261867</v>
      </c>
      <c r="U9" s="8"/>
      <c r="V9" s="8"/>
      <c r="W9" s="2"/>
      <c r="X9" s="2"/>
      <c r="Y9" s="2"/>
      <c r="Z9" s="2"/>
      <c r="AA9" s="2"/>
      <c r="AB9" s="2"/>
      <c r="AC9" s="2"/>
    </row>
    <row r="10">
      <c r="A10" s="15">
        <v>6.0</v>
      </c>
      <c r="B10" s="15">
        <v>71.0</v>
      </c>
      <c r="C10" s="15">
        <v>263.0</v>
      </c>
      <c r="D10" s="15">
        <v>6.0</v>
      </c>
      <c r="E10" s="15">
        <v>54.0</v>
      </c>
      <c r="F10" s="15">
        <v>57.7932</v>
      </c>
      <c r="G10" s="15"/>
      <c r="H10" s="5"/>
      <c r="I10" s="15">
        <v>6.0</v>
      </c>
      <c r="J10" s="15">
        <v>71.0</v>
      </c>
      <c r="K10" s="15">
        <v>263.0</v>
      </c>
      <c r="L10" s="15">
        <v>6.0</v>
      </c>
      <c r="M10" s="15">
        <v>54.0</v>
      </c>
      <c r="N10" s="15">
        <v>26.78886</v>
      </c>
      <c r="O10" s="2"/>
      <c r="P10" s="16" t="b">
        <f t="shared" ref="P10:R10" si="9">C10=K10</f>
        <v>1</v>
      </c>
      <c r="Q10" s="16" t="b">
        <f t="shared" si="9"/>
        <v>1</v>
      </c>
      <c r="R10" s="16" t="b">
        <f t="shared" si="9"/>
        <v>1</v>
      </c>
      <c r="S10" s="17">
        <f t="shared" si="3"/>
        <v>71</v>
      </c>
      <c r="T10" s="18">
        <f t="shared" si="4"/>
        <v>2.15735944</v>
      </c>
      <c r="U10" s="8"/>
      <c r="V10" s="8"/>
      <c r="W10" s="2"/>
      <c r="X10" s="2"/>
      <c r="Y10" s="2"/>
      <c r="Z10" s="2"/>
      <c r="AA10" s="2"/>
      <c r="AB10" s="2"/>
      <c r="AC10" s="2"/>
    </row>
    <row r="11">
      <c r="A11" s="15">
        <v>7.0</v>
      </c>
      <c r="B11" s="15">
        <v>1410.0</v>
      </c>
      <c r="C11" s="15">
        <v>47.0</v>
      </c>
      <c r="D11" s="15">
        <v>1200.0</v>
      </c>
      <c r="E11" s="15">
        <v>1244.0</v>
      </c>
      <c r="F11" s="15">
        <v>1143.533</v>
      </c>
      <c r="G11" s="15"/>
      <c r="H11" s="5"/>
      <c r="I11" s="15">
        <v>7.0</v>
      </c>
      <c r="J11" s="15">
        <v>1410.0</v>
      </c>
      <c r="K11" s="15">
        <v>47.0</v>
      </c>
      <c r="L11" s="15">
        <v>1200.0</v>
      </c>
      <c r="M11" s="15">
        <v>1244.0</v>
      </c>
      <c r="N11" s="15">
        <v>96.31437</v>
      </c>
      <c r="O11" s="2"/>
      <c r="P11" s="16" t="b">
        <f t="shared" ref="P11:R11" si="10">C11=K11</f>
        <v>1</v>
      </c>
      <c r="Q11" s="16" t="b">
        <f t="shared" si="10"/>
        <v>1</v>
      </c>
      <c r="R11" s="16" t="b">
        <f t="shared" si="10"/>
        <v>1</v>
      </c>
      <c r="S11" s="17">
        <f t="shared" si="3"/>
        <v>1410</v>
      </c>
      <c r="T11" s="18">
        <f t="shared" si="4"/>
        <v>11.87292197</v>
      </c>
      <c r="U11" s="8"/>
      <c r="V11" s="8"/>
      <c r="W11" s="2"/>
      <c r="X11" s="2"/>
      <c r="Y11" s="2"/>
      <c r="Z11" s="2"/>
      <c r="AA11" s="2"/>
      <c r="AB11" s="2"/>
      <c r="AC11" s="2"/>
    </row>
    <row r="12">
      <c r="A12" s="15">
        <v>8.0</v>
      </c>
      <c r="B12" s="15">
        <v>243.0</v>
      </c>
      <c r="C12" s="15">
        <v>47.0</v>
      </c>
      <c r="D12" s="15">
        <v>132.0</v>
      </c>
      <c r="E12" s="15">
        <v>173.0</v>
      </c>
      <c r="F12" s="15">
        <v>196.9865</v>
      </c>
      <c r="G12" s="15"/>
      <c r="H12" s="5"/>
      <c r="I12" s="15">
        <v>8.0</v>
      </c>
      <c r="J12" s="15">
        <v>243.0</v>
      </c>
      <c r="K12" s="15">
        <v>47.0</v>
      </c>
      <c r="L12" s="15">
        <v>132.0</v>
      </c>
      <c r="M12" s="15">
        <v>173.0</v>
      </c>
      <c r="N12" s="15">
        <v>36.75443</v>
      </c>
      <c r="O12" s="2"/>
      <c r="P12" s="16" t="b">
        <f t="shared" ref="P12:R12" si="11">C12=K12</f>
        <v>1</v>
      </c>
      <c r="Q12" s="16" t="b">
        <f t="shared" si="11"/>
        <v>1</v>
      </c>
      <c r="R12" s="16" t="b">
        <f t="shared" si="11"/>
        <v>1</v>
      </c>
      <c r="S12" s="17">
        <f t="shared" si="3"/>
        <v>243</v>
      </c>
      <c r="T12" s="18">
        <f t="shared" si="4"/>
        <v>5.35953081</v>
      </c>
      <c r="U12" s="8"/>
      <c r="V12" s="8"/>
      <c r="W12" s="2"/>
      <c r="X12" s="2"/>
      <c r="Y12" s="2"/>
      <c r="Z12" s="2"/>
      <c r="AA12" s="2"/>
      <c r="AB12" s="2"/>
      <c r="AC12" s="2"/>
    </row>
    <row r="13">
      <c r="A13" s="15">
        <v>9.0</v>
      </c>
      <c r="B13" s="15">
        <v>583.0</v>
      </c>
      <c r="C13" s="15">
        <v>50.0</v>
      </c>
      <c r="D13" s="15">
        <v>347.0</v>
      </c>
      <c r="E13" s="15">
        <v>393.0</v>
      </c>
      <c r="F13" s="15">
        <v>475.3199</v>
      </c>
      <c r="G13" s="15"/>
      <c r="H13" s="5"/>
      <c r="I13" s="15">
        <v>9.0</v>
      </c>
      <c r="J13" s="15">
        <v>583.0</v>
      </c>
      <c r="K13" s="15">
        <v>50.0</v>
      </c>
      <c r="L13" s="15">
        <v>347.0</v>
      </c>
      <c r="M13" s="15">
        <v>393.0</v>
      </c>
      <c r="N13" s="15">
        <v>51.08736</v>
      </c>
      <c r="O13" s="2"/>
      <c r="P13" s="16" t="b">
        <f t="shared" ref="P13:R13" si="12">C13=K13</f>
        <v>1</v>
      </c>
      <c r="Q13" s="16" t="b">
        <f t="shared" si="12"/>
        <v>1</v>
      </c>
      <c r="R13" s="16" t="b">
        <f t="shared" si="12"/>
        <v>1</v>
      </c>
      <c r="S13" s="17">
        <f t="shared" si="3"/>
        <v>583</v>
      </c>
      <c r="T13" s="18">
        <f t="shared" si="4"/>
        <v>9.30406073</v>
      </c>
      <c r="U13" s="8"/>
      <c r="V13" s="8"/>
      <c r="W13" s="2"/>
      <c r="X13" s="2"/>
      <c r="Y13" s="2"/>
      <c r="Z13" s="2"/>
      <c r="AA13" s="2"/>
      <c r="AB13" s="2"/>
      <c r="AC13" s="2"/>
    </row>
    <row r="14">
      <c r="A14" s="15">
        <v>10.0</v>
      </c>
      <c r="B14" s="15">
        <v>189.0</v>
      </c>
      <c r="C14" s="15">
        <v>46.0</v>
      </c>
      <c r="D14" s="15">
        <v>129.0</v>
      </c>
      <c r="E14" s="15">
        <v>171.0</v>
      </c>
      <c r="F14" s="15">
        <v>153.5326</v>
      </c>
      <c r="G14" s="15"/>
      <c r="H14" s="5"/>
      <c r="I14" s="15">
        <v>10.0</v>
      </c>
      <c r="J14" s="15">
        <v>189.0</v>
      </c>
      <c r="K14" s="15">
        <v>46.0</v>
      </c>
      <c r="L14" s="15">
        <v>129.0</v>
      </c>
      <c r="M14" s="15">
        <v>171.0</v>
      </c>
      <c r="N14" s="15">
        <v>33.10387</v>
      </c>
      <c r="O14" s="2"/>
      <c r="P14" s="16" t="b">
        <f t="shared" ref="P14:R14" si="13">C14=K14</f>
        <v>1</v>
      </c>
      <c r="Q14" s="16" t="b">
        <f t="shared" si="13"/>
        <v>1</v>
      </c>
      <c r="R14" s="16" t="b">
        <f t="shared" si="13"/>
        <v>1</v>
      </c>
      <c r="S14" s="17">
        <f t="shared" si="3"/>
        <v>189</v>
      </c>
      <c r="T14" s="18">
        <f t="shared" si="4"/>
        <v>4.637904873</v>
      </c>
      <c r="U14" s="8"/>
      <c r="V14" s="8"/>
      <c r="W14" s="2"/>
      <c r="X14" s="2"/>
      <c r="Y14" s="2"/>
      <c r="Z14" s="2"/>
      <c r="AA14" s="2"/>
      <c r="AB14" s="2"/>
      <c r="AC14" s="2"/>
    </row>
    <row r="15">
      <c r="A15" s="15">
        <v>11.0</v>
      </c>
      <c r="B15" s="15">
        <v>111.0</v>
      </c>
      <c r="C15" s="15">
        <v>40.0</v>
      </c>
      <c r="D15" s="15">
        <v>84.0</v>
      </c>
      <c r="E15" s="15">
        <v>111.0</v>
      </c>
      <c r="F15" s="15">
        <v>91.9649</v>
      </c>
      <c r="G15" s="15"/>
      <c r="H15" s="5"/>
      <c r="I15" s="15">
        <v>11.0</v>
      </c>
      <c r="J15" s="15">
        <v>111.0</v>
      </c>
      <c r="K15" s="15">
        <v>40.0</v>
      </c>
      <c r="L15" s="15">
        <v>84.0</v>
      </c>
      <c r="M15" s="15">
        <v>111.0</v>
      </c>
      <c r="N15" s="15">
        <v>25.65427</v>
      </c>
      <c r="O15" s="2"/>
      <c r="P15" s="16" t="b">
        <f t="shared" ref="P15:R15" si="14">C15=K15</f>
        <v>1</v>
      </c>
      <c r="Q15" s="16" t="b">
        <f t="shared" si="14"/>
        <v>1</v>
      </c>
      <c r="R15" s="16" t="b">
        <f t="shared" si="14"/>
        <v>1</v>
      </c>
      <c r="S15" s="17">
        <f t="shared" si="3"/>
        <v>111</v>
      </c>
      <c r="T15" s="18">
        <f t="shared" si="4"/>
        <v>3.584779454</v>
      </c>
      <c r="U15" s="8"/>
      <c r="V15" s="8"/>
      <c r="W15" s="2"/>
      <c r="X15" s="2"/>
      <c r="Y15" s="2"/>
      <c r="Z15" s="2"/>
      <c r="AA15" s="2"/>
      <c r="AB15" s="2"/>
      <c r="AC15" s="2"/>
    </row>
    <row r="16">
      <c r="A16" s="15">
        <v>12.0</v>
      </c>
      <c r="B16" s="15">
        <v>97.0</v>
      </c>
      <c r="C16" s="15">
        <v>43.0</v>
      </c>
      <c r="D16" s="15">
        <v>34.0</v>
      </c>
      <c r="E16" s="15">
        <v>75.0</v>
      </c>
      <c r="F16" s="15">
        <v>80.1835</v>
      </c>
      <c r="G16" s="15"/>
      <c r="H16" s="5"/>
      <c r="I16" s="15">
        <v>12.0</v>
      </c>
      <c r="J16" s="15">
        <v>97.0</v>
      </c>
      <c r="K16" s="15">
        <v>43.0</v>
      </c>
      <c r="L16" s="15">
        <v>34.0</v>
      </c>
      <c r="M16" s="15">
        <v>75.0</v>
      </c>
      <c r="N16" s="15">
        <v>30.47936</v>
      </c>
      <c r="O16" s="2"/>
      <c r="P16" s="16" t="b">
        <f t="shared" ref="P16:R16" si="15">C16=K16</f>
        <v>1</v>
      </c>
      <c r="Q16" s="16" t="b">
        <f t="shared" si="15"/>
        <v>1</v>
      </c>
      <c r="R16" s="16" t="b">
        <f t="shared" si="15"/>
        <v>1</v>
      </c>
      <c r="S16" s="17">
        <f t="shared" si="3"/>
        <v>97</v>
      </c>
      <c r="T16" s="18">
        <f t="shared" si="4"/>
        <v>2.630747496</v>
      </c>
      <c r="U16" s="8"/>
      <c r="V16" s="8"/>
      <c r="W16" s="2"/>
      <c r="X16" s="2"/>
      <c r="Y16" s="2"/>
      <c r="Z16" s="2"/>
      <c r="AA16" s="2"/>
      <c r="AB16" s="2"/>
      <c r="AC16" s="2"/>
    </row>
    <row r="17">
      <c r="A17" s="15">
        <v>13.0</v>
      </c>
      <c r="B17" s="15">
        <v>656.0</v>
      </c>
      <c r="C17" s="15">
        <v>46.0</v>
      </c>
      <c r="D17" s="15">
        <v>91.0</v>
      </c>
      <c r="E17" s="15">
        <v>135.0</v>
      </c>
      <c r="F17" s="15">
        <v>533.6333</v>
      </c>
      <c r="G17" s="15"/>
      <c r="H17" s="5"/>
      <c r="I17" s="15">
        <v>13.0</v>
      </c>
      <c r="J17" s="15">
        <v>656.0</v>
      </c>
      <c r="K17" s="15">
        <v>46.0</v>
      </c>
      <c r="L17" s="15">
        <v>91.0</v>
      </c>
      <c r="M17" s="15">
        <v>135.0</v>
      </c>
      <c r="N17" s="15">
        <v>57.58361</v>
      </c>
      <c r="O17" s="2"/>
      <c r="P17" s="16" t="b">
        <f t="shared" ref="P17:R17" si="16">C17=K17</f>
        <v>1</v>
      </c>
      <c r="Q17" s="16" t="b">
        <f t="shared" si="16"/>
        <v>1</v>
      </c>
      <c r="R17" s="16" t="b">
        <f t="shared" si="16"/>
        <v>1</v>
      </c>
      <c r="S17" s="17">
        <f t="shared" si="3"/>
        <v>656</v>
      </c>
      <c r="T17" s="18">
        <f t="shared" si="4"/>
        <v>9.267103955</v>
      </c>
      <c r="U17" s="8"/>
      <c r="V17" s="8"/>
      <c r="W17" s="2"/>
      <c r="X17" s="2"/>
      <c r="Y17" s="2"/>
      <c r="Z17" s="2"/>
      <c r="AA17" s="2"/>
      <c r="AB17" s="2"/>
      <c r="AC17" s="2"/>
    </row>
    <row r="18">
      <c r="A18" s="15">
        <v>14.0</v>
      </c>
      <c r="B18" s="15">
        <v>605.0</v>
      </c>
      <c r="C18" s="15">
        <v>63.0</v>
      </c>
      <c r="D18" s="15">
        <v>265.0</v>
      </c>
      <c r="E18" s="15">
        <v>315.0</v>
      </c>
      <c r="F18" s="15">
        <v>491.5763</v>
      </c>
      <c r="G18" s="15"/>
      <c r="H18" s="5"/>
      <c r="I18" s="15">
        <v>14.0</v>
      </c>
      <c r="J18" s="15">
        <v>605.0</v>
      </c>
      <c r="K18" s="15">
        <v>63.0</v>
      </c>
      <c r="L18" s="15">
        <v>265.0</v>
      </c>
      <c r="M18" s="15">
        <v>315.0</v>
      </c>
      <c r="N18" s="15">
        <v>57.17913</v>
      </c>
      <c r="O18" s="2"/>
      <c r="P18" s="16" t="b">
        <f t="shared" ref="P18:R18" si="17">C18=K18</f>
        <v>1</v>
      </c>
      <c r="Q18" s="16" t="b">
        <f t="shared" si="17"/>
        <v>1</v>
      </c>
      <c r="R18" s="16" t="b">
        <f t="shared" si="17"/>
        <v>1</v>
      </c>
      <c r="S18" s="17">
        <f t="shared" si="3"/>
        <v>605</v>
      </c>
      <c r="T18" s="18">
        <f t="shared" si="4"/>
        <v>8.597128008</v>
      </c>
      <c r="U18" s="8"/>
      <c r="V18" s="8"/>
      <c r="W18" s="2"/>
      <c r="X18" s="2"/>
      <c r="Y18" s="2"/>
      <c r="Z18" s="2"/>
      <c r="AA18" s="2"/>
      <c r="AB18" s="2"/>
      <c r="AC18" s="2"/>
    </row>
    <row r="19">
      <c r="A19" s="15">
        <v>15.0</v>
      </c>
      <c r="B19" s="15">
        <v>1331.0</v>
      </c>
      <c r="C19" s="15">
        <v>47.0</v>
      </c>
      <c r="D19" s="15">
        <v>706.0</v>
      </c>
      <c r="E19" s="15">
        <v>740.0</v>
      </c>
      <c r="F19" s="15">
        <v>1081.461</v>
      </c>
      <c r="G19" s="15"/>
      <c r="H19" s="5"/>
      <c r="I19" s="15">
        <v>15.0</v>
      </c>
      <c r="J19" s="15">
        <v>1331.0</v>
      </c>
      <c r="K19" s="15">
        <v>47.0</v>
      </c>
      <c r="L19" s="15">
        <v>706.0</v>
      </c>
      <c r="M19" s="15">
        <v>740.0</v>
      </c>
      <c r="N19" s="15">
        <v>91.1442</v>
      </c>
      <c r="O19" s="2"/>
      <c r="P19" s="16" t="b">
        <f t="shared" ref="P19:R19" si="18">C19=K19</f>
        <v>1</v>
      </c>
      <c r="Q19" s="16" t="b">
        <f t="shared" si="18"/>
        <v>1</v>
      </c>
      <c r="R19" s="16" t="b">
        <f t="shared" si="18"/>
        <v>1</v>
      </c>
      <c r="S19" s="17">
        <f t="shared" si="3"/>
        <v>1331</v>
      </c>
      <c r="T19" s="18">
        <f t="shared" si="4"/>
        <v>11.86538474</v>
      </c>
      <c r="U19" s="8"/>
      <c r="V19" s="8"/>
      <c r="W19" s="2"/>
      <c r="X19" s="2"/>
      <c r="Y19" s="2"/>
      <c r="Z19" s="2"/>
      <c r="AA19" s="2"/>
      <c r="AB19" s="2"/>
      <c r="AC19" s="2"/>
    </row>
    <row r="20">
      <c r="A20" s="15">
        <v>16.0</v>
      </c>
      <c r="B20" s="15">
        <v>940.0</v>
      </c>
      <c r="C20" s="15">
        <v>47.0</v>
      </c>
      <c r="D20" s="15">
        <v>184.0</v>
      </c>
      <c r="E20" s="15">
        <v>249.0</v>
      </c>
      <c r="F20" s="15">
        <v>762.8404</v>
      </c>
      <c r="G20" s="15"/>
      <c r="H20" s="5"/>
      <c r="I20" s="15">
        <v>16.0</v>
      </c>
      <c r="J20" s="15">
        <v>940.0</v>
      </c>
      <c r="K20" s="15">
        <v>47.0</v>
      </c>
      <c r="L20" s="15">
        <v>184.0</v>
      </c>
      <c r="M20" s="15">
        <v>249.0</v>
      </c>
      <c r="N20" s="15">
        <v>77.71545</v>
      </c>
      <c r="O20" s="2"/>
      <c r="P20" s="16" t="b">
        <f t="shared" ref="P20:R20" si="19">C20=K20</f>
        <v>1</v>
      </c>
      <c r="Q20" s="16" t="b">
        <f t="shared" si="19"/>
        <v>1</v>
      </c>
      <c r="R20" s="16" t="b">
        <f t="shared" si="19"/>
        <v>1</v>
      </c>
      <c r="S20" s="17">
        <f t="shared" si="3"/>
        <v>940</v>
      </c>
      <c r="T20" s="18">
        <f t="shared" si="4"/>
        <v>9.815813973</v>
      </c>
      <c r="U20" s="8"/>
      <c r="V20" s="8"/>
      <c r="W20" s="2"/>
      <c r="X20" s="2"/>
      <c r="Y20" s="2"/>
      <c r="Z20" s="2"/>
      <c r="AA20" s="2"/>
      <c r="AB20" s="2"/>
      <c r="AC20" s="2"/>
    </row>
    <row r="21">
      <c r="A21" s="15">
        <v>17.0</v>
      </c>
      <c r="B21" s="15">
        <v>5400.0</v>
      </c>
      <c r="C21" s="15">
        <v>54.0</v>
      </c>
      <c r="D21" s="15">
        <v>4791.0</v>
      </c>
      <c r="E21" s="15">
        <v>4827.0</v>
      </c>
      <c r="F21" s="15">
        <v>4390.858</v>
      </c>
      <c r="G21" s="15"/>
      <c r="H21" s="5"/>
      <c r="I21" s="15">
        <v>17.0</v>
      </c>
      <c r="J21" s="15">
        <v>5400.0</v>
      </c>
      <c r="K21" s="15">
        <v>54.0</v>
      </c>
      <c r="L21" s="15">
        <v>4791.0</v>
      </c>
      <c r="M21" s="15">
        <v>4827.0</v>
      </c>
      <c r="N21" s="15">
        <v>301.4953</v>
      </c>
      <c r="O21" s="2"/>
      <c r="P21" s="16" t="b">
        <f t="shared" ref="P21:R21" si="20">C21=K21</f>
        <v>1</v>
      </c>
      <c r="Q21" s="16" t="b">
        <f t="shared" si="20"/>
        <v>1</v>
      </c>
      <c r="R21" s="16" t="b">
        <f t="shared" si="20"/>
        <v>1</v>
      </c>
      <c r="S21" s="17">
        <f t="shared" si="3"/>
        <v>5400</v>
      </c>
      <c r="T21" s="18">
        <f t="shared" si="4"/>
        <v>14.56360348</v>
      </c>
      <c r="U21" s="8"/>
      <c r="V21" s="8"/>
      <c r="W21" s="2"/>
      <c r="X21" s="2"/>
      <c r="Y21" s="2"/>
      <c r="Z21" s="2"/>
      <c r="AA21" s="2"/>
      <c r="AB21" s="2"/>
      <c r="AC21" s="2"/>
    </row>
    <row r="22">
      <c r="A22" s="15">
        <v>18.0</v>
      </c>
      <c r="B22" s="15">
        <v>68.0</v>
      </c>
      <c r="C22" s="15">
        <v>46.0</v>
      </c>
      <c r="D22" s="15">
        <v>15.0</v>
      </c>
      <c r="E22" s="15">
        <v>66.0</v>
      </c>
      <c r="F22" s="15">
        <v>55.0867</v>
      </c>
      <c r="G22" s="15"/>
      <c r="H22" s="5"/>
      <c r="I22" s="15">
        <v>18.0</v>
      </c>
      <c r="J22" s="15">
        <v>68.0</v>
      </c>
      <c r="K22" s="15">
        <v>46.0</v>
      </c>
      <c r="L22" s="15">
        <v>15.0</v>
      </c>
      <c r="M22" s="15">
        <v>66.0</v>
      </c>
      <c r="N22" s="15">
        <v>26.57309</v>
      </c>
      <c r="O22" s="2"/>
      <c r="P22" s="16" t="b">
        <f t="shared" ref="P22:R22" si="21">C22=K22</f>
        <v>1</v>
      </c>
      <c r="Q22" s="16" t="b">
        <f t="shared" si="21"/>
        <v>1</v>
      </c>
      <c r="R22" s="16" t="b">
        <f t="shared" si="21"/>
        <v>1</v>
      </c>
      <c r="S22" s="17">
        <f t="shared" si="3"/>
        <v>68</v>
      </c>
      <c r="T22" s="18">
        <f t="shared" si="4"/>
        <v>2.073025757</v>
      </c>
      <c r="U22" s="8"/>
      <c r="V22" s="8"/>
      <c r="W22" s="2"/>
      <c r="X22" s="2"/>
      <c r="Y22" s="2"/>
      <c r="Z22" s="2"/>
      <c r="AA22" s="2"/>
      <c r="AB22" s="2"/>
      <c r="AC22" s="2"/>
    </row>
    <row r="23">
      <c r="A23" s="15">
        <v>19.0</v>
      </c>
      <c r="B23" s="15">
        <v>1019.0</v>
      </c>
      <c r="C23" s="15">
        <v>50.0</v>
      </c>
      <c r="D23" s="15">
        <v>634.0</v>
      </c>
      <c r="E23" s="15">
        <v>684.0</v>
      </c>
      <c r="F23" s="15">
        <v>831.2625</v>
      </c>
      <c r="G23" s="15"/>
      <c r="H23" s="5"/>
      <c r="I23" s="15">
        <v>19.0</v>
      </c>
      <c r="J23" s="15">
        <v>1019.0</v>
      </c>
      <c r="K23" s="15">
        <v>50.0</v>
      </c>
      <c r="L23" s="15">
        <v>634.0</v>
      </c>
      <c r="M23" s="15">
        <v>684.0</v>
      </c>
      <c r="N23" s="15">
        <v>54.86195</v>
      </c>
      <c r="O23" s="2"/>
      <c r="P23" s="16" t="b">
        <f t="shared" ref="P23:R23" si="22">C23=K23</f>
        <v>1</v>
      </c>
      <c r="Q23" s="16" t="b">
        <f t="shared" si="22"/>
        <v>1</v>
      </c>
      <c r="R23" s="16" t="b">
        <f t="shared" si="22"/>
        <v>1</v>
      </c>
      <c r="S23" s="17">
        <f t="shared" si="3"/>
        <v>1019</v>
      </c>
      <c r="T23" s="18">
        <f t="shared" si="4"/>
        <v>15.15189489</v>
      </c>
      <c r="U23" s="8"/>
      <c r="V23" s="8"/>
      <c r="W23" s="2"/>
      <c r="X23" s="2"/>
      <c r="Y23" s="2"/>
      <c r="Z23" s="2"/>
      <c r="AA23" s="2"/>
      <c r="AB23" s="2"/>
      <c r="AC23" s="2"/>
    </row>
    <row r="24">
      <c r="A24" s="15">
        <v>20.0</v>
      </c>
      <c r="B24" s="15">
        <v>945.0</v>
      </c>
      <c r="C24" s="15">
        <v>52.0</v>
      </c>
      <c r="D24" s="15">
        <v>401.0</v>
      </c>
      <c r="E24" s="15">
        <v>449.0</v>
      </c>
      <c r="F24" s="15">
        <v>770.5201</v>
      </c>
      <c r="G24" s="15"/>
      <c r="H24" s="5"/>
      <c r="I24" s="15">
        <v>20.0</v>
      </c>
      <c r="J24" s="15">
        <v>945.0</v>
      </c>
      <c r="K24" s="15">
        <v>52.0</v>
      </c>
      <c r="L24" s="15">
        <v>401.0</v>
      </c>
      <c r="M24" s="15">
        <v>449.0</v>
      </c>
      <c r="N24" s="15">
        <v>52.10214</v>
      </c>
      <c r="O24" s="2"/>
      <c r="P24" s="16" t="b">
        <f t="shared" ref="P24:R24" si="23">C24=K24</f>
        <v>1</v>
      </c>
      <c r="Q24" s="16" t="b">
        <f t="shared" si="23"/>
        <v>1</v>
      </c>
      <c r="R24" s="16" t="b">
        <f t="shared" si="23"/>
        <v>1</v>
      </c>
      <c r="S24" s="17">
        <f t="shared" si="3"/>
        <v>945</v>
      </c>
      <c r="T24" s="18">
        <f t="shared" si="4"/>
        <v>14.78864592</v>
      </c>
      <c r="U24" s="8"/>
      <c r="V24" s="8"/>
      <c r="W24" s="2"/>
      <c r="X24" s="2"/>
      <c r="Y24" s="2"/>
      <c r="Z24" s="2"/>
      <c r="AA24" s="2"/>
      <c r="AB24" s="2"/>
      <c r="AC24" s="2"/>
    </row>
    <row r="25">
      <c r="A25" s="15">
        <v>21.0</v>
      </c>
      <c r="B25" s="15">
        <v>597.0</v>
      </c>
      <c r="C25" s="15">
        <v>48.0</v>
      </c>
      <c r="D25" s="15">
        <v>533.0</v>
      </c>
      <c r="E25" s="15">
        <v>573.0</v>
      </c>
      <c r="F25" s="15">
        <v>482.7149</v>
      </c>
      <c r="G25" s="15"/>
      <c r="H25" s="5"/>
      <c r="I25" s="15">
        <v>21.0</v>
      </c>
      <c r="J25" s="15">
        <v>597.0</v>
      </c>
      <c r="K25" s="15">
        <v>48.0</v>
      </c>
      <c r="L25" s="15">
        <v>533.0</v>
      </c>
      <c r="M25" s="15">
        <v>573.0</v>
      </c>
      <c r="N25" s="15">
        <v>40.13495</v>
      </c>
      <c r="O25" s="2"/>
      <c r="P25" s="16" t="b">
        <f t="shared" ref="P25:R25" si="24">C25=K25</f>
        <v>1</v>
      </c>
      <c r="Q25" s="16" t="b">
        <f t="shared" si="24"/>
        <v>1</v>
      </c>
      <c r="R25" s="16" t="b">
        <f t="shared" si="24"/>
        <v>1</v>
      </c>
      <c r="S25" s="17">
        <f t="shared" si="3"/>
        <v>597</v>
      </c>
      <c r="T25" s="18">
        <f t="shared" si="4"/>
        <v>12.02729541</v>
      </c>
      <c r="U25" s="8"/>
      <c r="V25" s="8"/>
      <c r="W25" s="2"/>
      <c r="X25" s="2"/>
      <c r="Y25" s="2"/>
      <c r="Z25" s="2"/>
      <c r="AA25" s="2"/>
      <c r="AB25" s="2"/>
      <c r="AC25" s="2"/>
    </row>
    <row r="26">
      <c r="A26" s="15">
        <v>22.0</v>
      </c>
      <c r="B26" s="15">
        <v>81.0</v>
      </c>
      <c r="C26" s="15">
        <v>36.0</v>
      </c>
      <c r="D26" s="15">
        <v>34.0</v>
      </c>
      <c r="E26" s="15">
        <v>78.0</v>
      </c>
      <c r="F26" s="15">
        <v>65.4651</v>
      </c>
      <c r="G26" s="15"/>
      <c r="H26" s="5"/>
      <c r="I26" s="15">
        <v>22.0</v>
      </c>
      <c r="J26" s="15">
        <v>81.0</v>
      </c>
      <c r="K26" s="15">
        <v>36.0</v>
      </c>
      <c r="L26" s="15">
        <v>34.0</v>
      </c>
      <c r="M26" s="15">
        <v>78.0</v>
      </c>
      <c r="N26" s="15">
        <v>26.1417</v>
      </c>
      <c r="O26" s="2"/>
      <c r="P26" s="16" t="b">
        <f t="shared" ref="P26:R26" si="25">C26=K26</f>
        <v>1</v>
      </c>
      <c r="Q26" s="16" t="b">
        <f t="shared" si="25"/>
        <v>1</v>
      </c>
      <c r="R26" s="16" t="b">
        <f t="shared" si="25"/>
        <v>1</v>
      </c>
      <c r="S26" s="17">
        <f t="shared" si="3"/>
        <v>81</v>
      </c>
      <c r="T26" s="18">
        <f t="shared" si="4"/>
        <v>2.504240352</v>
      </c>
      <c r="U26" s="8"/>
      <c r="V26" s="8"/>
      <c r="W26" s="2"/>
      <c r="X26" s="2"/>
      <c r="Y26" s="2"/>
      <c r="Z26" s="2"/>
      <c r="AA26" s="2"/>
      <c r="AB26" s="2"/>
      <c r="AC26" s="2"/>
    </row>
    <row r="27">
      <c r="A27" s="15">
        <v>23.0</v>
      </c>
      <c r="B27" s="15">
        <v>260.0</v>
      </c>
      <c r="C27" s="15">
        <v>40.0</v>
      </c>
      <c r="D27" s="15">
        <v>122.0</v>
      </c>
      <c r="E27" s="15">
        <v>163.0</v>
      </c>
      <c r="F27" s="15">
        <v>221.401</v>
      </c>
      <c r="G27" s="15"/>
      <c r="H27" s="5"/>
      <c r="I27" s="15">
        <v>23.0</v>
      </c>
      <c r="J27" s="15">
        <v>260.0</v>
      </c>
      <c r="K27" s="15">
        <v>40.0</v>
      </c>
      <c r="L27" s="15">
        <v>122.0</v>
      </c>
      <c r="M27" s="15">
        <v>163.0</v>
      </c>
      <c r="N27" s="15">
        <v>31.2105</v>
      </c>
      <c r="O27" s="2"/>
      <c r="P27" s="16" t="b">
        <f t="shared" ref="P27:R27" si="26">C27=K27</f>
        <v>1</v>
      </c>
      <c r="Q27" s="16" t="b">
        <f t="shared" si="26"/>
        <v>1</v>
      </c>
      <c r="R27" s="16" t="b">
        <f t="shared" si="26"/>
        <v>1</v>
      </c>
      <c r="S27" s="17">
        <f t="shared" si="3"/>
        <v>260</v>
      </c>
      <c r="T27" s="18">
        <f t="shared" si="4"/>
        <v>7.093798561</v>
      </c>
      <c r="U27" s="8"/>
      <c r="V27" s="8"/>
      <c r="W27" s="2"/>
      <c r="X27" s="2"/>
      <c r="Y27" s="2"/>
      <c r="Z27" s="2"/>
      <c r="AA27" s="2"/>
      <c r="AB27" s="2"/>
      <c r="AC27" s="2"/>
    </row>
    <row r="28">
      <c r="A28" s="15">
        <v>24.0</v>
      </c>
      <c r="B28" s="15">
        <v>446.0</v>
      </c>
      <c r="C28" s="15">
        <v>76.0</v>
      </c>
      <c r="D28" s="15">
        <v>98.0</v>
      </c>
      <c r="E28" s="15">
        <v>132.0</v>
      </c>
      <c r="F28" s="15">
        <v>360.1525</v>
      </c>
      <c r="G28" s="15"/>
      <c r="H28" s="5"/>
      <c r="I28" s="15">
        <v>24.0</v>
      </c>
      <c r="J28" s="15">
        <v>446.0</v>
      </c>
      <c r="K28" s="15">
        <v>76.0</v>
      </c>
      <c r="L28" s="15">
        <v>98.0</v>
      </c>
      <c r="M28" s="15">
        <v>132.0</v>
      </c>
      <c r="N28" s="15">
        <v>33.67536</v>
      </c>
      <c r="O28" s="2"/>
      <c r="P28" s="16" t="b">
        <f t="shared" ref="P28:R28" si="27">C28=K28</f>
        <v>1</v>
      </c>
      <c r="Q28" s="16" t="b">
        <f t="shared" si="27"/>
        <v>1</v>
      </c>
      <c r="R28" s="16" t="b">
        <f t="shared" si="27"/>
        <v>1</v>
      </c>
      <c r="S28" s="17">
        <f t="shared" si="3"/>
        <v>446</v>
      </c>
      <c r="T28" s="18">
        <f t="shared" si="4"/>
        <v>10.69483741</v>
      </c>
      <c r="U28" s="8"/>
      <c r="V28" s="8"/>
      <c r="W28" s="2"/>
      <c r="X28" s="2"/>
      <c r="Y28" s="2"/>
      <c r="Z28" s="2"/>
      <c r="AA28" s="2"/>
      <c r="AB28" s="2"/>
      <c r="AC28" s="2"/>
    </row>
    <row r="29">
      <c r="A29" s="15">
        <v>25.0</v>
      </c>
      <c r="B29" s="15">
        <v>512.0</v>
      </c>
      <c r="C29" s="15">
        <v>60.0</v>
      </c>
      <c r="D29" s="15">
        <v>394.0</v>
      </c>
      <c r="E29" s="15">
        <v>435.0</v>
      </c>
      <c r="F29" s="15">
        <v>413.2503</v>
      </c>
      <c r="G29" s="15"/>
      <c r="H29" s="5"/>
      <c r="I29" s="15">
        <v>25.0</v>
      </c>
      <c r="J29" s="15">
        <v>512.0</v>
      </c>
      <c r="K29" s="15">
        <v>60.0</v>
      </c>
      <c r="L29" s="15">
        <v>394.0</v>
      </c>
      <c r="M29" s="15">
        <v>435.0</v>
      </c>
      <c r="N29" s="15">
        <v>37.06282</v>
      </c>
      <c r="O29" s="2"/>
      <c r="P29" s="16" t="b">
        <f t="shared" ref="P29:R29" si="28">C29=K29</f>
        <v>1</v>
      </c>
      <c r="Q29" s="16" t="b">
        <f t="shared" si="28"/>
        <v>1</v>
      </c>
      <c r="R29" s="16" t="b">
        <f t="shared" si="28"/>
        <v>1</v>
      </c>
      <c r="S29" s="17">
        <f t="shared" si="3"/>
        <v>512</v>
      </c>
      <c r="T29" s="18">
        <f t="shared" si="4"/>
        <v>11.14999614</v>
      </c>
      <c r="U29" s="8"/>
      <c r="V29" s="8"/>
      <c r="W29" s="2"/>
      <c r="X29" s="2"/>
      <c r="Y29" s="2"/>
      <c r="Z29" s="2"/>
      <c r="AA29" s="2"/>
      <c r="AB29" s="2"/>
      <c r="AC29" s="2"/>
    </row>
    <row r="30">
      <c r="A30" s="15">
        <v>26.0</v>
      </c>
      <c r="B30" s="15">
        <v>569.0</v>
      </c>
      <c r="C30" s="15">
        <v>50.0</v>
      </c>
      <c r="D30" s="15">
        <v>266.0</v>
      </c>
      <c r="E30" s="15">
        <v>328.0</v>
      </c>
      <c r="F30" s="15">
        <v>449.3261</v>
      </c>
      <c r="G30" s="15"/>
      <c r="H30" s="5"/>
      <c r="I30" s="15">
        <v>26.0</v>
      </c>
      <c r="J30" s="15">
        <v>569.0</v>
      </c>
      <c r="K30" s="15">
        <v>50.0</v>
      </c>
      <c r="L30" s="15">
        <v>266.0</v>
      </c>
      <c r="M30" s="15">
        <v>328.0</v>
      </c>
      <c r="N30" s="15">
        <v>42.77152</v>
      </c>
      <c r="O30" s="2"/>
      <c r="P30" s="16" t="b">
        <f t="shared" ref="P30:R30" si="29">C30=K30</f>
        <v>1</v>
      </c>
      <c r="Q30" s="16" t="b">
        <f t="shared" si="29"/>
        <v>1</v>
      </c>
      <c r="R30" s="16" t="b">
        <f t="shared" si="29"/>
        <v>1</v>
      </c>
      <c r="S30" s="17">
        <f t="shared" si="3"/>
        <v>569</v>
      </c>
      <c r="T30" s="18">
        <f t="shared" si="4"/>
        <v>10.50526378</v>
      </c>
      <c r="U30" s="8"/>
      <c r="V30" s="8"/>
      <c r="W30" s="2"/>
      <c r="X30" s="2"/>
      <c r="Y30" s="2"/>
      <c r="Z30" s="2"/>
      <c r="AA30" s="2"/>
      <c r="AB30" s="2"/>
      <c r="AC30" s="2"/>
    </row>
    <row r="31">
      <c r="A31" s="15">
        <v>27.0</v>
      </c>
      <c r="B31" s="15">
        <v>334.0</v>
      </c>
      <c r="C31" s="15">
        <v>58.0</v>
      </c>
      <c r="D31" s="15">
        <v>149.0</v>
      </c>
      <c r="E31" s="15">
        <v>202.0</v>
      </c>
      <c r="F31" s="15">
        <v>269.2616</v>
      </c>
      <c r="G31" s="15"/>
      <c r="H31" s="5"/>
      <c r="I31" s="15">
        <v>27.0</v>
      </c>
      <c r="J31" s="15">
        <v>334.0</v>
      </c>
      <c r="K31" s="15">
        <v>58.0</v>
      </c>
      <c r="L31" s="15">
        <v>149.0</v>
      </c>
      <c r="M31" s="15">
        <v>202.0</v>
      </c>
      <c r="N31" s="15">
        <v>35.29514</v>
      </c>
      <c r="O31" s="2"/>
      <c r="P31" s="16" t="b">
        <f t="shared" ref="P31:R31" si="30">C31=K31</f>
        <v>1</v>
      </c>
      <c r="Q31" s="16" t="b">
        <f t="shared" si="30"/>
        <v>1</v>
      </c>
      <c r="R31" s="16" t="b">
        <f t="shared" si="30"/>
        <v>1</v>
      </c>
      <c r="S31" s="17">
        <f t="shared" si="3"/>
        <v>334</v>
      </c>
      <c r="T31" s="18">
        <f t="shared" si="4"/>
        <v>7.628857684</v>
      </c>
      <c r="U31" s="8"/>
      <c r="V31" s="8"/>
      <c r="W31" s="2"/>
      <c r="X31" s="2"/>
      <c r="Y31" s="2"/>
      <c r="Z31" s="2"/>
      <c r="AA31" s="2"/>
      <c r="AB31" s="2"/>
      <c r="AC31" s="2"/>
    </row>
    <row r="32">
      <c r="A32" s="15">
        <v>28.0</v>
      </c>
      <c r="B32" s="15">
        <v>78.0</v>
      </c>
      <c r="C32" s="15">
        <v>42.0</v>
      </c>
      <c r="D32" s="15">
        <v>19.0</v>
      </c>
      <c r="E32" s="15">
        <v>60.0</v>
      </c>
      <c r="F32" s="15">
        <v>63.6961</v>
      </c>
      <c r="G32" s="15"/>
      <c r="H32" s="5"/>
      <c r="I32" s="15">
        <v>28.0</v>
      </c>
      <c r="J32" s="15">
        <v>78.0</v>
      </c>
      <c r="K32" s="15">
        <v>42.0</v>
      </c>
      <c r="L32" s="15">
        <v>19.0</v>
      </c>
      <c r="M32" s="15">
        <v>60.0</v>
      </c>
      <c r="N32" s="15">
        <v>25.25933</v>
      </c>
      <c r="O32" s="2"/>
      <c r="P32" s="16" t="b">
        <f t="shared" ref="P32:R32" si="31">C32=K32</f>
        <v>1</v>
      </c>
      <c r="Q32" s="16" t="b">
        <f t="shared" si="31"/>
        <v>1</v>
      </c>
      <c r="R32" s="16" t="b">
        <f t="shared" si="31"/>
        <v>1</v>
      </c>
      <c r="S32" s="17">
        <f t="shared" si="3"/>
        <v>78</v>
      </c>
      <c r="T32" s="18">
        <f t="shared" si="4"/>
        <v>2.521686046</v>
      </c>
      <c r="U32" s="8"/>
      <c r="V32" s="8"/>
      <c r="W32" s="2"/>
      <c r="X32" s="2"/>
      <c r="Y32" s="2"/>
      <c r="Z32" s="2"/>
      <c r="AA32" s="2"/>
      <c r="AB32" s="2"/>
      <c r="AC32" s="2"/>
    </row>
    <row r="33">
      <c r="A33" s="15">
        <v>29.0</v>
      </c>
      <c r="B33" s="15">
        <v>79.0</v>
      </c>
      <c r="C33" s="15">
        <v>36.0</v>
      </c>
      <c r="D33" s="15">
        <v>46.0</v>
      </c>
      <c r="E33" s="15">
        <v>78.0</v>
      </c>
      <c r="F33" s="15">
        <v>64.5265</v>
      </c>
      <c r="G33" s="15"/>
      <c r="H33" s="5"/>
      <c r="I33" s="15">
        <v>29.0</v>
      </c>
      <c r="J33" s="15">
        <v>79.0</v>
      </c>
      <c r="K33" s="15">
        <v>36.0</v>
      </c>
      <c r="L33" s="15">
        <v>46.0</v>
      </c>
      <c r="M33" s="15">
        <v>78.0</v>
      </c>
      <c r="N33" s="15">
        <v>22.41146</v>
      </c>
      <c r="O33" s="2"/>
      <c r="P33" s="16" t="b">
        <f t="shared" ref="P33:R33" si="32">C33=K33</f>
        <v>1</v>
      </c>
      <c r="Q33" s="16" t="b">
        <f t="shared" si="32"/>
        <v>1</v>
      </c>
      <c r="R33" s="16" t="b">
        <f t="shared" si="32"/>
        <v>1</v>
      </c>
      <c r="S33" s="17">
        <f t="shared" si="3"/>
        <v>79</v>
      </c>
      <c r="T33" s="18">
        <f t="shared" si="4"/>
        <v>2.879174315</v>
      </c>
      <c r="U33" s="8"/>
      <c r="V33" s="8"/>
      <c r="W33" s="2"/>
      <c r="X33" s="2"/>
      <c r="Y33" s="2"/>
      <c r="Z33" s="2"/>
      <c r="AA33" s="2"/>
      <c r="AB33" s="2"/>
      <c r="AC33" s="2"/>
    </row>
    <row r="34">
      <c r="A34" s="15">
        <v>30.0</v>
      </c>
      <c r="B34" s="15">
        <v>404.0</v>
      </c>
      <c r="C34" s="15">
        <v>50.0</v>
      </c>
      <c r="D34" s="15">
        <v>232.0</v>
      </c>
      <c r="E34" s="15">
        <v>279.0</v>
      </c>
      <c r="F34" s="15">
        <v>326.0448</v>
      </c>
      <c r="G34" s="15"/>
      <c r="H34" s="5"/>
      <c r="I34" s="15">
        <v>30.0</v>
      </c>
      <c r="J34" s="15">
        <v>404.0</v>
      </c>
      <c r="K34" s="15">
        <v>50.0</v>
      </c>
      <c r="L34" s="15">
        <v>232.0</v>
      </c>
      <c r="M34" s="15">
        <v>279.0</v>
      </c>
      <c r="N34" s="15">
        <v>36.20675</v>
      </c>
      <c r="O34" s="2"/>
      <c r="P34" s="16" t="b">
        <f t="shared" ref="P34:R34" si="33">C34=K34</f>
        <v>1</v>
      </c>
      <c r="Q34" s="16" t="b">
        <f t="shared" si="33"/>
        <v>1</v>
      </c>
      <c r="R34" s="16" t="b">
        <f t="shared" si="33"/>
        <v>1</v>
      </c>
      <c r="S34" s="17">
        <f t="shared" si="3"/>
        <v>404</v>
      </c>
      <c r="T34" s="18">
        <f t="shared" si="4"/>
        <v>9.005083306</v>
      </c>
      <c r="U34" s="8"/>
      <c r="V34" s="8"/>
      <c r="W34" s="2"/>
      <c r="X34" s="2"/>
      <c r="Y34" s="2"/>
      <c r="Z34" s="2"/>
      <c r="AA34" s="2"/>
      <c r="AB34" s="2"/>
      <c r="AC34" s="2"/>
    </row>
    <row r="35">
      <c r="A35" s="15">
        <v>31.0</v>
      </c>
      <c r="B35" s="15">
        <v>80.0</v>
      </c>
      <c r="C35" s="15">
        <v>40.0</v>
      </c>
      <c r="D35" s="15">
        <v>30.0</v>
      </c>
      <c r="E35" s="15">
        <v>76.0</v>
      </c>
      <c r="F35" s="15">
        <v>64.7204</v>
      </c>
      <c r="G35" s="15"/>
      <c r="H35" s="5"/>
      <c r="I35" s="15">
        <v>31.0</v>
      </c>
      <c r="J35" s="15">
        <v>80.0</v>
      </c>
      <c r="K35" s="15">
        <v>40.0</v>
      </c>
      <c r="L35" s="15">
        <v>30.0</v>
      </c>
      <c r="M35" s="15">
        <v>76.0</v>
      </c>
      <c r="N35" s="15">
        <v>25.91312</v>
      </c>
      <c r="O35" s="2"/>
      <c r="P35" s="16" t="b">
        <f t="shared" ref="P35:R35" si="34">C35=K35</f>
        <v>1</v>
      </c>
      <c r="Q35" s="16" t="b">
        <f t="shared" si="34"/>
        <v>1</v>
      </c>
      <c r="R35" s="16" t="b">
        <f t="shared" si="34"/>
        <v>1</v>
      </c>
      <c r="S35" s="17">
        <f t="shared" si="3"/>
        <v>80</v>
      </c>
      <c r="T35" s="18">
        <f t="shared" si="4"/>
        <v>2.497591953</v>
      </c>
      <c r="U35" s="8"/>
      <c r="V35" s="8"/>
      <c r="W35" s="2"/>
      <c r="X35" s="2"/>
      <c r="Y35" s="2"/>
      <c r="Z35" s="2"/>
      <c r="AA35" s="2"/>
      <c r="AB35" s="2"/>
      <c r="AC35" s="2"/>
    </row>
    <row r="36">
      <c r="A36" s="15">
        <v>32.0</v>
      </c>
      <c r="B36" s="15">
        <v>1488.0</v>
      </c>
      <c r="C36" s="15">
        <v>56.0</v>
      </c>
      <c r="D36" s="15">
        <v>378.0</v>
      </c>
      <c r="E36" s="15">
        <v>411.0</v>
      </c>
      <c r="F36" s="15">
        <v>1203.441</v>
      </c>
      <c r="G36" s="15"/>
      <c r="H36" s="5"/>
      <c r="I36" s="15">
        <v>32.0</v>
      </c>
      <c r="J36" s="15">
        <v>1488.0</v>
      </c>
      <c r="K36" s="15">
        <v>56.0</v>
      </c>
      <c r="L36" s="15">
        <v>378.0</v>
      </c>
      <c r="M36" s="15">
        <v>411.0</v>
      </c>
      <c r="N36" s="15">
        <v>63.66752</v>
      </c>
      <c r="O36" s="2"/>
      <c r="P36" s="16" t="b">
        <f t="shared" ref="P36:R36" si="35">C36=K36</f>
        <v>1</v>
      </c>
      <c r="Q36" s="16" t="b">
        <f t="shared" si="35"/>
        <v>1</v>
      </c>
      <c r="R36" s="16" t="b">
        <f t="shared" si="35"/>
        <v>1</v>
      </c>
      <c r="S36" s="17">
        <f t="shared" si="3"/>
        <v>1488</v>
      </c>
      <c r="T36" s="18">
        <f t="shared" si="4"/>
        <v>18.90196131</v>
      </c>
      <c r="U36" s="8"/>
      <c r="V36" s="8"/>
      <c r="W36" s="2"/>
      <c r="X36" s="2"/>
      <c r="Y36" s="2"/>
      <c r="Z36" s="2"/>
      <c r="AA36" s="2"/>
      <c r="AB36" s="2"/>
      <c r="AC36" s="2"/>
    </row>
    <row r="37">
      <c r="A37" s="15">
        <v>33.0</v>
      </c>
      <c r="B37" s="15">
        <v>356.0</v>
      </c>
      <c r="C37" s="15">
        <v>48.0</v>
      </c>
      <c r="D37" s="15">
        <v>211.0</v>
      </c>
      <c r="E37" s="15">
        <v>254.0</v>
      </c>
      <c r="F37" s="15">
        <v>288.3513</v>
      </c>
      <c r="G37" s="15"/>
      <c r="H37" s="5"/>
      <c r="I37" s="15">
        <v>33.0</v>
      </c>
      <c r="J37" s="15">
        <v>356.0</v>
      </c>
      <c r="K37" s="15">
        <v>48.0</v>
      </c>
      <c r="L37" s="15">
        <v>211.0</v>
      </c>
      <c r="M37" s="15">
        <v>254.0</v>
      </c>
      <c r="N37" s="15">
        <v>33.62099</v>
      </c>
      <c r="O37" s="2"/>
      <c r="P37" s="16" t="b">
        <f t="shared" ref="P37:R37" si="36">C37=K37</f>
        <v>1</v>
      </c>
      <c r="Q37" s="16" t="b">
        <f t="shared" si="36"/>
        <v>1</v>
      </c>
      <c r="R37" s="16" t="b">
        <f t="shared" si="36"/>
        <v>1</v>
      </c>
      <c r="S37" s="17">
        <f t="shared" si="3"/>
        <v>356</v>
      </c>
      <c r="T37" s="18">
        <f t="shared" si="4"/>
        <v>8.576526152</v>
      </c>
      <c r="U37" s="8"/>
      <c r="V37" s="8"/>
      <c r="W37" s="2"/>
      <c r="X37" s="2"/>
      <c r="Y37" s="2"/>
      <c r="Z37" s="2"/>
      <c r="AA37" s="2"/>
      <c r="AB37" s="2"/>
      <c r="AC37" s="2"/>
    </row>
    <row r="38">
      <c r="A38" s="15">
        <v>34.0</v>
      </c>
      <c r="B38" s="15">
        <v>569.0</v>
      </c>
      <c r="C38" s="15">
        <v>44.0</v>
      </c>
      <c r="D38" s="15">
        <v>133.0</v>
      </c>
      <c r="E38" s="15">
        <v>180.0</v>
      </c>
      <c r="F38" s="15">
        <v>457.8855</v>
      </c>
      <c r="G38" s="15"/>
      <c r="H38" s="5"/>
      <c r="I38" s="15">
        <v>34.0</v>
      </c>
      <c r="J38" s="15">
        <v>569.0</v>
      </c>
      <c r="K38" s="15">
        <v>44.0</v>
      </c>
      <c r="L38" s="15">
        <v>133.0</v>
      </c>
      <c r="M38" s="15">
        <v>180.0</v>
      </c>
      <c r="N38" s="15">
        <v>40.07015</v>
      </c>
      <c r="O38" s="2"/>
      <c r="P38" s="16" t="b">
        <f t="shared" ref="P38:R38" si="37">C38=K38</f>
        <v>1</v>
      </c>
      <c r="Q38" s="16" t="b">
        <f t="shared" si="37"/>
        <v>1</v>
      </c>
      <c r="R38" s="16" t="b">
        <f t="shared" si="37"/>
        <v>1</v>
      </c>
      <c r="S38" s="17">
        <f t="shared" si="3"/>
        <v>569</v>
      </c>
      <c r="T38" s="18">
        <f t="shared" si="4"/>
        <v>11.42709723</v>
      </c>
      <c r="U38" s="8"/>
      <c r="V38" s="8"/>
      <c r="W38" s="2"/>
      <c r="X38" s="2"/>
      <c r="Y38" s="2"/>
      <c r="Z38" s="2"/>
      <c r="AA38" s="2"/>
      <c r="AB38" s="2"/>
      <c r="AC38" s="2"/>
    </row>
    <row r="39">
      <c r="A39" s="15">
        <v>35.0</v>
      </c>
      <c r="B39" s="15">
        <v>136.0</v>
      </c>
      <c r="C39" s="15">
        <v>41.0</v>
      </c>
      <c r="D39" s="15">
        <v>40.0</v>
      </c>
      <c r="E39" s="15">
        <v>80.0</v>
      </c>
      <c r="F39" s="15">
        <v>111.0261</v>
      </c>
      <c r="G39" s="15"/>
      <c r="H39" s="5"/>
      <c r="I39" s="15">
        <v>35.0</v>
      </c>
      <c r="J39" s="15">
        <v>136.0</v>
      </c>
      <c r="K39" s="15">
        <v>41.0</v>
      </c>
      <c r="L39" s="15">
        <v>40.0</v>
      </c>
      <c r="M39" s="15">
        <v>80.0</v>
      </c>
      <c r="N39" s="15">
        <v>27.39408</v>
      </c>
      <c r="O39" s="2"/>
      <c r="P39" s="16" t="b">
        <f t="shared" ref="P39:R39" si="38">C39=K39</f>
        <v>1</v>
      </c>
      <c r="Q39" s="16" t="b">
        <f t="shared" si="38"/>
        <v>1</v>
      </c>
      <c r="R39" s="16" t="b">
        <f t="shared" si="38"/>
        <v>1</v>
      </c>
      <c r="S39" s="17">
        <f t="shared" si="3"/>
        <v>136</v>
      </c>
      <c r="T39" s="18">
        <f t="shared" si="4"/>
        <v>4.052923113</v>
      </c>
      <c r="U39" s="8"/>
      <c r="V39" s="8"/>
      <c r="W39" s="2"/>
      <c r="X39" s="2"/>
      <c r="Y39" s="2"/>
      <c r="Z39" s="2"/>
      <c r="AA39" s="2"/>
      <c r="AB39" s="2"/>
      <c r="AC39" s="2"/>
    </row>
    <row r="40">
      <c r="A40" s="15">
        <v>36.0</v>
      </c>
      <c r="B40" s="15">
        <v>303.0</v>
      </c>
      <c r="C40" s="15">
        <v>45.0</v>
      </c>
      <c r="D40" s="15">
        <v>110.0</v>
      </c>
      <c r="E40" s="15">
        <v>141.0</v>
      </c>
      <c r="F40" s="15">
        <v>246.5407</v>
      </c>
      <c r="G40" s="15"/>
      <c r="H40" s="5"/>
      <c r="I40" s="15">
        <v>36.0</v>
      </c>
      <c r="J40" s="15">
        <v>303.0</v>
      </c>
      <c r="K40" s="15">
        <v>45.0</v>
      </c>
      <c r="L40" s="15">
        <v>110.0</v>
      </c>
      <c r="M40" s="15">
        <v>141.0</v>
      </c>
      <c r="N40" s="15">
        <v>30.62067</v>
      </c>
      <c r="O40" s="2"/>
      <c r="P40" s="16" t="b">
        <f t="shared" ref="P40:R40" si="39">C40=K40</f>
        <v>1</v>
      </c>
      <c r="Q40" s="16" t="b">
        <f t="shared" si="39"/>
        <v>1</v>
      </c>
      <c r="R40" s="16" t="b">
        <f t="shared" si="39"/>
        <v>1</v>
      </c>
      <c r="S40" s="17">
        <f t="shared" si="3"/>
        <v>303</v>
      </c>
      <c r="T40" s="18">
        <f t="shared" si="4"/>
        <v>8.051446947</v>
      </c>
      <c r="U40" s="8"/>
      <c r="V40" s="8"/>
      <c r="W40" s="2"/>
      <c r="X40" s="2"/>
      <c r="Y40" s="2"/>
      <c r="Z40" s="2"/>
      <c r="AA40" s="2"/>
      <c r="AB40" s="2"/>
      <c r="AC40" s="2"/>
    </row>
    <row r="41">
      <c r="A41" s="15">
        <v>37.0</v>
      </c>
      <c r="B41" s="15">
        <v>73.0</v>
      </c>
      <c r="C41" s="15">
        <v>45.0</v>
      </c>
      <c r="D41" s="15">
        <v>34.0</v>
      </c>
      <c r="E41" s="15">
        <v>71.0</v>
      </c>
      <c r="F41" s="15">
        <v>59.1599</v>
      </c>
      <c r="G41" s="15"/>
      <c r="H41" s="5"/>
      <c r="I41" s="15">
        <v>37.0</v>
      </c>
      <c r="J41" s="15">
        <v>73.0</v>
      </c>
      <c r="K41" s="15">
        <v>45.0</v>
      </c>
      <c r="L41" s="15">
        <v>34.0</v>
      </c>
      <c r="M41" s="15">
        <v>71.0</v>
      </c>
      <c r="N41" s="15">
        <v>25.04688</v>
      </c>
      <c r="O41" s="2"/>
      <c r="P41" s="16" t="b">
        <f t="shared" ref="P41:R41" si="40">C41=K41</f>
        <v>1</v>
      </c>
      <c r="Q41" s="16" t="b">
        <f t="shared" si="40"/>
        <v>1</v>
      </c>
      <c r="R41" s="16" t="b">
        <f t="shared" si="40"/>
        <v>1</v>
      </c>
      <c r="S41" s="17">
        <f t="shared" si="3"/>
        <v>73</v>
      </c>
      <c r="T41" s="18">
        <f t="shared" si="4"/>
        <v>2.36196684</v>
      </c>
      <c r="U41" s="8"/>
      <c r="V41" s="8"/>
      <c r="W41" s="2"/>
      <c r="X41" s="2"/>
      <c r="Y41" s="2"/>
      <c r="Z41" s="2"/>
      <c r="AA41" s="2"/>
      <c r="AB41" s="2"/>
      <c r="AC41" s="2"/>
    </row>
    <row r="42">
      <c r="A42" s="15">
        <v>38.0</v>
      </c>
      <c r="B42" s="15">
        <v>101.0</v>
      </c>
      <c r="C42" s="15">
        <v>43.0</v>
      </c>
      <c r="D42" s="15">
        <v>21.0</v>
      </c>
      <c r="E42" s="15">
        <v>65.0</v>
      </c>
      <c r="F42" s="15">
        <v>81.3157</v>
      </c>
      <c r="G42" s="15"/>
      <c r="H42" s="5"/>
      <c r="I42" s="15">
        <v>38.0</v>
      </c>
      <c r="J42" s="15">
        <v>101.0</v>
      </c>
      <c r="K42" s="15">
        <v>43.0</v>
      </c>
      <c r="L42" s="15">
        <v>21.0</v>
      </c>
      <c r="M42" s="15">
        <v>65.0</v>
      </c>
      <c r="N42" s="15">
        <v>26.50003</v>
      </c>
      <c r="O42" s="2"/>
      <c r="P42" s="16" t="b">
        <f t="shared" ref="P42:R42" si="41">C42=K42</f>
        <v>1</v>
      </c>
      <c r="Q42" s="16" t="b">
        <f t="shared" si="41"/>
        <v>1</v>
      </c>
      <c r="R42" s="16" t="b">
        <f t="shared" si="41"/>
        <v>1</v>
      </c>
      <c r="S42" s="17">
        <f t="shared" si="3"/>
        <v>101</v>
      </c>
      <c r="T42" s="18">
        <f t="shared" si="4"/>
        <v>3.068513507</v>
      </c>
      <c r="U42" s="8"/>
      <c r="V42" s="8"/>
      <c r="W42" s="2"/>
      <c r="X42" s="2"/>
      <c r="Y42" s="2"/>
      <c r="Z42" s="2"/>
      <c r="AA42" s="2"/>
      <c r="AB42" s="2"/>
      <c r="AC42" s="2"/>
    </row>
    <row r="43">
      <c r="A43" s="15">
        <v>39.0</v>
      </c>
      <c r="B43" s="15">
        <v>327.0</v>
      </c>
      <c r="C43" s="15">
        <v>52.0</v>
      </c>
      <c r="D43" s="15">
        <v>254.0</v>
      </c>
      <c r="E43" s="15">
        <v>299.0</v>
      </c>
      <c r="F43" s="15">
        <v>263.671</v>
      </c>
      <c r="G43" s="15"/>
      <c r="H43" s="5"/>
      <c r="I43" s="15">
        <v>39.0</v>
      </c>
      <c r="J43" s="15">
        <v>327.0</v>
      </c>
      <c r="K43" s="15">
        <v>52.0</v>
      </c>
      <c r="L43" s="15">
        <v>254.0</v>
      </c>
      <c r="M43" s="15">
        <v>299.0</v>
      </c>
      <c r="N43" s="15">
        <v>34.64634</v>
      </c>
      <c r="O43" s="2"/>
      <c r="P43" s="16" t="b">
        <f t="shared" ref="P43:R43" si="42">C43=K43</f>
        <v>1</v>
      </c>
      <c r="Q43" s="16" t="b">
        <f t="shared" si="42"/>
        <v>1</v>
      </c>
      <c r="R43" s="16" t="b">
        <f t="shared" si="42"/>
        <v>1</v>
      </c>
      <c r="S43" s="17">
        <f t="shared" si="3"/>
        <v>327</v>
      </c>
      <c r="T43" s="18">
        <f t="shared" si="4"/>
        <v>7.610356534</v>
      </c>
      <c r="U43" s="8"/>
      <c r="V43" s="8"/>
      <c r="W43" s="2"/>
      <c r="X43" s="2"/>
      <c r="Y43" s="2"/>
      <c r="Z43" s="2"/>
      <c r="AA43" s="2"/>
      <c r="AB43" s="2"/>
      <c r="AC43" s="2"/>
    </row>
    <row r="44">
      <c r="A44" s="15">
        <v>40.0</v>
      </c>
      <c r="B44" s="15">
        <v>328.0</v>
      </c>
      <c r="C44" s="15">
        <v>64.0</v>
      </c>
      <c r="D44" s="15">
        <v>259.0</v>
      </c>
      <c r="E44" s="15">
        <v>319.0</v>
      </c>
      <c r="F44" s="15">
        <v>267.7872</v>
      </c>
      <c r="G44" s="15"/>
      <c r="H44" s="5"/>
      <c r="I44" s="15">
        <v>40.0</v>
      </c>
      <c r="J44" s="15">
        <v>328.0</v>
      </c>
      <c r="K44" s="15">
        <v>64.0</v>
      </c>
      <c r="L44" s="15">
        <v>259.0</v>
      </c>
      <c r="M44" s="15">
        <v>319.0</v>
      </c>
      <c r="N44" s="15">
        <v>35.67514</v>
      </c>
      <c r="O44" s="2"/>
      <c r="P44" s="16" t="b">
        <f t="shared" ref="P44:R44" si="43">C44=K44</f>
        <v>1</v>
      </c>
      <c r="Q44" s="16" t="b">
        <f t="shared" si="43"/>
        <v>1</v>
      </c>
      <c r="R44" s="16" t="b">
        <f t="shared" si="43"/>
        <v>1</v>
      </c>
      <c r="S44" s="17">
        <f t="shared" si="3"/>
        <v>328</v>
      </c>
      <c r="T44" s="18">
        <f t="shared" si="4"/>
        <v>7.506269071</v>
      </c>
      <c r="U44" s="8"/>
      <c r="V44" s="8"/>
      <c r="W44" s="2"/>
      <c r="X44" s="2"/>
      <c r="Y44" s="2"/>
      <c r="Z44" s="2"/>
      <c r="AA44" s="2"/>
      <c r="AB44" s="2"/>
      <c r="AC44" s="2"/>
    </row>
    <row r="45">
      <c r="A45" s="15">
        <v>41.0</v>
      </c>
      <c r="B45" s="15">
        <v>273.0</v>
      </c>
      <c r="C45" s="15">
        <v>42.0</v>
      </c>
      <c r="D45" s="15">
        <v>185.0</v>
      </c>
      <c r="E45" s="15">
        <v>227.0</v>
      </c>
      <c r="F45" s="15">
        <v>219.332</v>
      </c>
      <c r="G45" s="15"/>
      <c r="H45" s="5"/>
      <c r="I45" s="15">
        <v>41.0</v>
      </c>
      <c r="J45" s="15">
        <v>273.0</v>
      </c>
      <c r="K45" s="15">
        <v>42.0</v>
      </c>
      <c r="L45" s="15">
        <v>185.0</v>
      </c>
      <c r="M45" s="15">
        <v>227.0</v>
      </c>
      <c r="N45" s="15">
        <v>30.43312</v>
      </c>
      <c r="O45" s="2"/>
      <c r="P45" s="16" t="b">
        <f t="shared" ref="P45:R45" si="44">C45=K45</f>
        <v>1</v>
      </c>
      <c r="Q45" s="16" t="b">
        <f t="shared" si="44"/>
        <v>1</v>
      </c>
      <c r="R45" s="16" t="b">
        <f t="shared" si="44"/>
        <v>1</v>
      </c>
      <c r="S45" s="17">
        <f t="shared" si="3"/>
        <v>273</v>
      </c>
      <c r="T45" s="18">
        <f t="shared" si="4"/>
        <v>7.207016566</v>
      </c>
      <c r="U45" s="8"/>
      <c r="V45" s="8"/>
      <c r="W45" s="2"/>
      <c r="X45" s="2"/>
      <c r="Y45" s="2"/>
      <c r="Z45" s="2"/>
      <c r="AA45" s="2"/>
      <c r="AB45" s="2"/>
      <c r="AC45" s="2"/>
    </row>
    <row r="46">
      <c r="A46" s="15">
        <v>42.0</v>
      </c>
      <c r="B46" s="15">
        <v>215.0</v>
      </c>
      <c r="C46" s="15">
        <v>39.0</v>
      </c>
      <c r="D46" s="15">
        <v>85.0</v>
      </c>
      <c r="E46" s="15">
        <v>129.0</v>
      </c>
      <c r="F46" s="15">
        <v>173.665</v>
      </c>
      <c r="G46" s="15"/>
      <c r="H46" s="5"/>
      <c r="I46" s="15">
        <v>42.0</v>
      </c>
      <c r="J46" s="15">
        <v>215.0</v>
      </c>
      <c r="K46" s="15">
        <v>39.0</v>
      </c>
      <c r="L46" s="15">
        <v>85.0</v>
      </c>
      <c r="M46" s="15">
        <v>129.0</v>
      </c>
      <c r="N46" s="15">
        <v>28.64435</v>
      </c>
      <c r="O46" s="2"/>
      <c r="P46" s="16" t="b">
        <f t="shared" ref="P46:R46" si="45">C46=K46</f>
        <v>1</v>
      </c>
      <c r="Q46" s="16" t="b">
        <f t="shared" si="45"/>
        <v>1</v>
      </c>
      <c r="R46" s="16" t="b">
        <f t="shared" si="45"/>
        <v>1</v>
      </c>
      <c r="S46" s="17">
        <f t="shared" si="3"/>
        <v>215</v>
      </c>
      <c r="T46" s="18">
        <f t="shared" si="4"/>
        <v>6.062801216</v>
      </c>
      <c r="U46" s="8"/>
      <c r="V46" s="8"/>
      <c r="W46" s="2"/>
      <c r="X46" s="2"/>
      <c r="Y46" s="2"/>
      <c r="Z46" s="2"/>
      <c r="AA46" s="2"/>
      <c r="AB46" s="2"/>
      <c r="AC46" s="2"/>
    </row>
    <row r="47">
      <c r="A47" s="15">
        <v>43.0</v>
      </c>
      <c r="B47" s="15">
        <v>221.0</v>
      </c>
      <c r="C47" s="15">
        <v>41.0</v>
      </c>
      <c r="D47" s="15">
        <v>90.0</v>
      </c>
      <c r="E47" s="15">
        <v>129.0</v>
      </c>
      <c r="F47" s="15">
        <v>176.7259</v>
      </c>
      <c r="G47" s="15"/>
      <c r="H47" s="5"/>
      <c r="I47" s="15">
        <v>43.0</v>
      </c>
      <c r="J47" s="15">
        <v>221.0</v>
      </c>
      <c r="K47" s="15">
        <v>41.0</v>
      </c>
      <c r="L47" s="15">
        <v>90.0</v>
      </c>
      <c r="M47" s="15">
        <v>129.0</v>
      </c>
      <c r="N47" s="15">
        <v>29.29491</v>
      </c>
      <c r="O47" s="2"/>
      <c r="P47" s="16" t="b">
        <f t="shared" ref="P47:R47" si="46">C47=K47</f>
        <v>1</v>
      </c>
      <c r="Q47" s="16" t="b">
        <f t="shared" si="46"/>
        <v>1</v>
      </c>
      <c r="R47" s="16" t="b">
        <f t="shared" si="46"/>
        <v>1</v>
      </c>
      <c r="S47" s="17">
        <f t="shared" si="3"/>
        <v>221</v>
      </c>
      <c r="T47" s="18">
        <f t="shared" si="4"/>
        <v>6.032648675</v>
      </c>
      <c r="U47" s="8"/>
      <c r="V47" s="8"/>
      <c r="W47" s="2"/>
      <c r="X47" s="2"/>
      <c r="Y47" s="2"/>
      <c r="Z47" s="2"/>
      <c r="AA47" s="2"/>
      <c r="AB47" s="2"/>
      <c r="AC47" s="2"/>
    </row>
    <row r="48">
      <c r="A48" s="15">
        <v>44.0</v>
      </c>
      <c r="B48" s="15">
        <v>528.0</v>
      </c>
      <c r="C48" s="15">
        <v>43.0</v>
      </c>
      <c r="D48" s="15">
        <v>293.0</v>
      </c>
      <c r="E48" s="15">
        <v>342.0</v>
      </c>
      <c r="F48" s="15">
        <v>427.0433</v>
      </c>
      <c r="G48" s="15"/>
      <c r="H48" s="5"/>
      <c r="I48" s="15">
        <v>44.0</v>
      </c>
      <c r="J48" s="15">
        <v>528.0</v>
      </c>
      <c r="K48" s="15">
        <v>43.0</v>
      </c>
      <c r="L48" s="15">
        <v>293.0</v>
      </c>
      <c r="M48" s="15">
        <v>342.0</v>
      </c>
      <c r="N48" s="15">
        <v>39.68922</v>
      </c>
      <c r="O48" s="2"/>
      <c r="P48" s="16" t="b">
        <f t="shared" ref="P48:R48" si="47">C48=K48</f>
        <v>1</v>
      </c>
      <c r="Q48" s="16" t="b">
        <f t="shared" si="47"/>
        <v>1</v>
      </c>
      <c r="R48" s="16" t="b">
        <f t="shared" si="47"/>
        <v>1</v>
      </c>
      <c r="S48" s="17">
        <f t="shared" si="3"/>
        <v>528</v>
      </c>
      <c r="T48" s="18">
        <f t="shared" si="4"/>
        <v>10.75967983</v>
      </c>
      <c r="U48" s="8"/>
      <c r="V48" s="8"/>
      <c r="W48" s="2"/>
      <c r="X48" s="2"/>
      <c r="Y48" s="2"/>
      <c r="Z48" s="2"/>
      <c r="AA48" s="2"/>
      <c r="AB48" s="2"/>
      <c r="AC48" s="2"/>
    </row>
    <row r="49">
      <c r="A49" s="15">
        <v>45.0</v>
      </c>
      <c r="B49" s="15">
        <v>665.0</v>
      </c>
      <c r="C49" s="15">
        <v>41.0</v>
      </c>
      <c r="D49" s="15">
        <v>1.0</v>
      </c>
      <c r="E49" s="15">
        <v>46.0</v>
      </c>
      <c r="F49" s="15">
        <v>536.724</v>
      </c>
      <c r="G49" s="15"/>
      <c r="H49" s="5"/>
      <c r="I49" s="15">
        <v>45.0</v>
      </c>
      <c r="J49" s="15">
        <v>665.0</v>
      </c>
      <c r="K49" s="15">
        <v>41.0</v>
      </c>
      <c r="L49" s="15">
        <v>1.0</v>
      </c>
      <c r="M49" s="15">
        <v>46.0</v>
      </c>
      <c r="N49" s="15">
        <v>55.7312</v>
      </c>
      <c r="O49" s="2"/>
      <c r="P49" s="16" t="b">
        <f t="shared" ref="P49:R49" si="48">C49=K49</f>
        <v>1</v>
      </c>
      <c r="Q49" s="16" t="b">
        <f t="shared" si="48"/>
        <v>1</v>
      </c>
      <c r="R49" s="16" t="b">
        <f t="shared" si="48"/>
        <v>1</v>
      </c>
      <c r="S49" s="17">
        <f t="shared" si="3"/>
        <v>665</v>
      </c>
      <c r="T49" s="18">
        <f t="shared" si="4"/>
        <v>9.630583946</v>
      </c>
      <c r="U49" s="8"/>
      <c r="V49" s="8"/>
      <c r="W49" s="2"/>
      <c r="X49" s="2"/>
      <c r="Y49" s="2"/>
      <c r="Z49" s="2"/>
      <c r="AA49" s="2"/>
      <c r="AB49" s="2"/>
      <c r="AC49" s="2"/>
    </row>
    <row r="50">
      <c r="A50" s="15">
        <v>46.0</v>
      </c>
      <c r="B50" s="15">
        <v>291.0</v>
      </c>
      <c r="C50" s="15">
        <v>41.0</v>
      </c>
      <c r="D50" s="15">
        <v>3.0</v>
      </c>
      <c r="E50" s="15">
        <v>40.0</v>
      </c>
      <c r="F50" s="15">
        <v>251.0708</v>
      </c>
      <c r="G50" s="15"/>
      <c r="H50" s="5"/>
      <c r="I50" s="15">
        <v>46.0</v>
      </c>
      <c r="J50" s="15">
        <v>291.0</v>
      </c>
      <c r="K50" s="15">
        <v>41.0</v>
      </c>
      <c r="L50" s="15">
        <v>3.0</v>
      </c>
      <c r="M50" s="15">
        <v>40.0</v>
      </c>
      <c r="N50" s="15">
        <v>37.87981</v>
      </c>
      <c r="O50" s="2"/>
      <c r="P50" s="16" t="b">
        <f t="shared" ref="P50:R50" si="49">C50=K50</f>
        <v>1</v>
      </c>
      <c r="Q50" s="16" t="b">
        <f t="shared" si="49"/>
        <v>1</v>
      </c>
      <c r="R50" s="16" t="b">
        <f t="shared" si="49"/>
        <v>1</v>
      </c>
      <c r="S50" s="17">
        <f t="shared" si="3"/>
        <v>291</v>
      </c>
      <c r="T50" s="18">
        <f t="shared" si="4"/>
        <v>6.628090268</v>
      </c>
      <c r="U50" s="8"/>
      <c r="V50" s="8"/>
      <c r="W50" s="2"/>
      <c r="X50" s="2"/>
      <c r="Y50" s="2"/>
      <c r="Z50" s="2"/>
      <c r="AA50" s="2"/>
      <c r="AB50" s="2"/>
      <c r="AC50" s="2"/>
    </row>
    <row r="51">
      <c r="A51" s="15">
        <v>47.0</v>
      </c>
      <c r="B51" s="15">
        <v>379.0</v>
      </c>
      <c r="C51" s="15">
        <v>42.0</v>
      </c>
      <c r="D51" s="15">
        <v>256.0</v>
      </c>
      <c r="E51" s="15">
        <v>301.0</v>
      </c>
      <c r="F51" s="15">
        <v>336.654</v>
      </c>
      <c r="G51" s="15"/>
      <c r="H51" s="5"/>
      <c r="I51" s="15">
        <v>47.0</v>
      </c>
      <c r="J51" s="15">
        <v>379.0</v>
      </c>
      <c r="K51" s="15">
        <v>42.0</v>
      </c>
      <c r="L51" s="15">
        <v>256.0</v>
      </c>
      <c r="M51" s="15">
        <v>301.0</v>
      </c>
      <c r="N51" s="15">
        <v>40.86477</v>
      </c>
      <c r="O51" s="2"/>
      <c r="P51" s="16" t="b">
        <f t="shared" ref="P51:R51" si="50">C51=K51</f>
        <v>1</v>
      </c>
      <c r="Q51" s="16" t="b">
        <f t="shared" si="50"/>
        <v>1</v>
      </c>
      <c r="R51" s="16" t="b">
        <f t="shared" si="50"/>
        <v>1</v>
      </c>
      <c r="S51" s="17">
        <f t="shared" si="3"/>
        <v>379</v>
      </c>
      <c r="T51" s="18">
        <f t="shared" si="4"/>
        <v>8.238245315</v>
      </c>
      <c r="U51" s="8"/>
      <c r="V51" s="8"/>
      <c r="W51" s="2"/>
      <c r="X51" s="2"/>
      <c r="Y51" s="2"/>
      <c r="Z51" s="2"/>
      <c r="AA51" s="2"/>
      <c r="AB51" s="2"/>
      <c r="AC51" s="2"/>
    </row>
    <row r="52">
      <c r="A52" s="15">
        <v>48.0</v>
      </c>
      <c r="B52" s="15">
        <v>233.0</v>
      </c>
      <c r="C52" s="15">
        <v>52.0</v>
      </c>
      <c r="D52" s="15">
        <v>2.0</v>
      </c>
      <c r="E52" s="15">
        <v>43.0</v>
      </c>
      <c r="F52" s="15">
        <v>209.0325</v>
      </c>
      <c r="G52" s="15"/>
      <c r="H52" s="5"/>
      <c r="I52" s="15">
        <v>48.0</v>
      </c>
      <c r="J52" s="15">
        <v>233.0</v>
      </c>
      <c r="K52" s="15">
        <v>52.0</v>
      </c>
      <c r="L52" s="15">
        <v>2.0</v>
      </c>
      <c r="M52" s="15">
        <v>43.0</v>
      </c>
      <c r="N52" s="15">
        <v>34.05312</v>
      </c>
      <c r="O52" s="2"/>
      <c r="P52" s="16" t="b">
        <f t="shared" ref="P52:R52" si="51">C52=K52</f>
        <v>1</v>
      </c>
      <c r="Q52" s="16" t="b">
        <f t="shared" si="51"/>
        <v>1</v>
      </c>
      <c r="R52" s="16" t="b">
        <f t="shared" si="51"/>
        <v>1</v>
      </c>
      <c r="S52" s="17">
        <f t="shared" si="3"/>
        <v>233</v>
      </c>
      <c r="T52" s="18">
        <f t="shared" si="4"/>
        <v>6.138424321</v>
      </c>
      <c r="U52" s="8"/>
      <c r="V52" s="8"/>
      <c r="W52" s="2"/>
      <c r="X52" s="2"/>
      <c r="Y52" s="2"/>
      <c r="Z52" s="2"/>
      <c r="AA52" s="2"/>
      <c r="AB52" s="2"/>
      <c r="AC52" s="2"/>
    </row>
    <row r="53">
      <c r="A53" s="15">
        <v>49.0</v>
      </c>
      <c r="B53" s="15">
        <v>387.0</v>
      </c>
      <c r="C53" s="15">
        <v>55.0</v>
      </c>
      <c r="D53" s="15">
        <v>55.0</v>
      </c>
      <c r="E53" s="15">
        <v>95.0</v>
      </c>
      <c r="F53" s="15">
        <v>345.4177</v>
      </c>
      <c r="G53" s="15"/>
      <c r="H53" s="5"/>
      <c r="I53" s="15">
        <v>49.0</v>
      </c>
      <c r="J53" s="15">
        <v>387.0</v>
      </c>
      <c r="K53" s="15">
        <v>55.0</v>
      </c>
      <c r="L53" s="15">
        <v>55.0</v>
      </c>
      <c r="M53" s="15">
        <v>95.0</v>
      </c>
      <c r="N53" s="15">
        <v>40.66406</v>
      </c>
      <c r="O53" s="2"/>
      <c r="P53" s="16" t="b">
        <f t="shared" ref="P53:R53" si="52">C53=K53</f>
        <v>1</v>
      </c>
      <c r="Q53" s="16" t="b">
        <f t="shared" si="52"/>
        <v>1</v>
      </c>
      <c r="R53" s="16" t="b">
        <f t="shared" si="52"/>
        <v>1</v>
      </c>
      <c r="S53" s="17">
        <f t="shared" si="3"/>
        <v>387</v>
      </c>
      <c r="T53" s="18">
        <f t="shared" si="4"/>
        <v>8.494422347</v>
      </c>
      <c r="U53" s="8"/>
      <c r="V53" s="8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5"/>
      <c r="I54" s="15"/>
      <c r="J54" s="15"/>
      <c r="K54" s="15"/>
      <c r="L54" s="15"/>
      <c r="M54" s="15"/>
      <c r="N54" s="15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5"/>
      <c r="I55" s="15"/>
      <c r="J55" s="15"/>
      <c r="K55" s="15"/>
      <c r="L55" s="15"/>
      <c r="M55" s="15"/>
      <c r="N55" s="15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5"/>
      <c r="I56" s="15"/>
      <c r="J56" s="15"/>
      <c r="K56" s="15"/>
      <c r="L56" s="15"/>
      <c r="M56" s="15"/>
      <c r="N56" s="15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5"/>
      <c r="I57" s="15"/>
      <c r="J57" s="15"/>
      <c r="K57" s="15"/>
      <c r="L57" s="15"/>
      <c r="M57" s="15"/>
      <c r="N57" s="15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5"/>
      <c r="I58" s="15"/>
      <c r="J58" s="15"/>
      <c r="K58" s="15"/>
      <c r="L58" s="15"/>
      <c r="M58" s="15"/>
      <c r="N58" s="15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5"/>
      <c r="I59" s="15"/>
      <c r="J59" s="15"/>
      <c r="K59" s="15"/>
      <c r="L59" s="15"/>
      <c r="M59" s="15"/>
      <c r="N59" s="15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5"/>
      <c r="I60" s="15"/>
      <c r="J60" s="15"/>
      <c r="K60" s="15"/>
      <c r="L60" s="15"/>
      <c r="M60" s="15"/>
      <c r="N60" s="15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5"/>
      <c r="I61" s="15"/>
      <c r="J61" s="15"/>
      <c r="K61" s="15"/>
      <c r="L61" s="15"/>
      <c r="M61" s="15"/>
      <c r="N61" s="15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5"/>
      <c r="I62" s="15"/>
      <c r="J62" s="15"/>
      <c r="K62" s="15"/>
      <c r="L62" s="15"/>
      <c r="M62" s="15"/>
      <c r="N62" s="15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5"/>
      <c r="I63" s="15"/>
      <c r="J63" s="15"/>
      <c r="K63" s="15"/>
      <c r="L63" s="15"/>
      <c r="M63" s="15"/>
      <c r="N63" s="15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5"/>
      <c r="I64" s="15"/>
      <c r="J64" s="15"/>
      <c r="K64" s="15"/>
      <c r="L64" s="15"/>
      <c r="M64" s="15"/>
      <c r="N64" s="15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5"/>
      <c r="I65" s="15"/>
      <c r="J65" s="15"/>
      <c r="K65" s="15"/>
      <c r="L65" s="15"/>
      <c r="M65" s="15"/>
      <c r="N65" s="15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5"/>
      <c r="I66" s="15"/>
      <c r="J66" s="15"/>
      <c r="K66" s="15"/>
      <c r="L66" s="15"/>
      <c r="M66" s="15"/>
      <c r="N66" s="15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5"/>
      <c r="I67" s="15"/>
      <c r="J67" s="15"/>
      <c r="K67" s="15"/>
      <c r="L67" s="15"/>
      <c r="M67" s="15"/>
      <c r="N67" s="15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5"/>
      <c r="I68" s="15"/>
      <c r="J68" s="15"/>
      <c r="K68" s="15"/>
      <c r="L68" s="15"/>
      <c r="M68" s="15"/>
      <c r="N68" s="15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5"/>
      <c r="I69" s="15"/>
      <c r="J69" s="15"/>
      <c r="K69" s="15"/>
      <c r="L69" s="15"/>
      <c r="M69" s="15"/>
      <c r="N69" s="15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5"/>
      <c r="I70" s="15"/>
      <c r="J70" s="15"/>
      <c r="K70" s="15"/>
      <c r="L70" s="15"/>
      <c r="M70" s="15"/>
      <c r="N70" s="15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5"/>
      <c r="I71" s="15"/>
      <c r="J71" s="15"/>
      <c r="K71" s="15"/>
      <c r="L71" s="15"/>
      <c r="M71" s="15"/>
      <c r="N71" s="15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5"/>
      <c r="I72" s="15"/>
      <c r="J72" s="15"/>
      <c r="K72" s="15"/>
      <c r="L72" s="15"/>
      <c r="M72" s="15"/>
      <c r="N72" s="15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5"/>
      <c r="I73" s="15"/>
      <c r="J73" s="15"/>
      <c r="K73" s="15"/>
      <c r="L73" s="15"/>
      <c r="M73" s="15"/>
      <c r="N73" s="15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5"/>
      <c r="I74" s="15"/>
      <c r="J74" s="15"/>
      <c r="K74" s="15"/>
      <c r="L74" s="15"/>
      <c r="M74" s="15"/>
      <c r="N74" s="15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5"/>
      <c r="I75" s="15"/>
      <c r="J75" s="15"/>
      <c r="K75" s="15"/>
      <c r="L75" s="15"/>
      <c r="M75" s="15"/>
      <c r="N75" s="15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5"/>
      <c r="I76" s="15"/>
      <c r="J76" s="15"/>
      <c r="K76" s="15"/>
      <c r="L76" s="15"/>
      <c r="M76" s="15"/>
      <c r="N76" s="15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5"/>
      <c r="I77" s="15"/>
      <c r="J77" s="15"/>
      <c r="K77" s="15"/>
      <c r="L77" s="15"/>
      <c r="M77" s="15"/>
      <c r="N77" s="15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5"/>
      <c r="I78" s="15"/>
      <c r="J78" s="15"/>
      <c r="K78" s="15"/>
      <c r="L78" s="15"/>
      <c r="M78" s="15"/>
      <c r="N78" s="15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5"/>
      <c r="I79" s="15"/>
      <c r="J79" s="15"/>
      <c r="K79" s="15"/>
      <c r="L79" s="15"/>
      <c r="M79" s="15"/>
      <c r="N79" s="15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5"/>
      <c r="I80" s="15"/>
      <c r="J80" s="15"/>
      <c r="K80" s="15"/>
      <c r="L80" s="15"/>
      <c r="M80" s="15"/>
      <c r="N80" s="15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5"/>
      <c r="I81" s="15"/>
      <c r="J81" s="15"/>
      <c r="K81" s="15"/>
      <c r="L81" s="15"/>
      <c r="M81" s="15"/>
      <c r="N81" s="15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5"/>
      <c r="I82" s="15"/>
      <c r="J82" s="15"/>
      <c r="K82" s="15"/>
      <c r="L82" s="15"/>
      <c r="M82" s="15"/>
      <c r="N82" s="15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5"/>
      <c r="I83" s="15"/>
      <c r="J83" s="15"/>
      <c r="K83" s="15"/>
      <c r="L83" s="15"/>
      <c r="M83" s="15"/>
      <c r="N83" s="15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5"/>
      <c r="I84" s="15"/>
      <c r="J84" s="15"/>
      <c r="K84" s="15"/>
      <c r="L84" s="15"/>
      <c r="M84" s="15"/>
      <c r="N84" s="15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5"/>
      <c r="I85" s="15"/>
      <c r="J85" s="15"/>
      <c r="K85" s="15"/>
      <c r="L85" s="15"/>
      <c r="M85" s="15"/>
      <c r="N85" s="15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5"/>
      <c r="I86" s="15"/>
      <c r="J86" s="15"/>
      <c r="K86" s="15"/>
      <c r="L86" s="15"/>
      <c r="M86" s="15"/>
      <c r="N86" s="15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5"/>
      <c r="I87" s="15"/>
      <c r="J87" s="15"/>
      <c r="K87" s="15"/>
      <c r="L87" s="15"/>
      <c r="M87" s="15"/>
      <c r="N87" s="15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5"/>
      <c r="I88" s="15"/>
      <c r="J88" s="15"/>
      <c r="K88" s="15"/>
      <c r="L88" s="15"/>
      <c r="M88" s="15"/>
      <c r="N88" s="15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5"/>
      <c r="I89" s="15"/>
      <c r="J89" s="15"/>
      <c r="K89" s="15"/>
      <c r="L89" s="15"/>
      <c r="M89" s="15"/>
      <c r="N89" s="15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5"/>
      <c r="I90" s="15"/>
      <c r="J90" s="15"/>
      <c r="K90" s="15"/>
      <c r="L90" s="15"/>
      <c r="M90" s="15"/>
      <c r="N90" s="15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5"/>
      <c r="I91" s="15"/>
      <c r="J91" s="15"/>
      <c r="K91" s="15"/>
      <c r="L91" s="15"/>
      <c r="M91" s="15"/>
      <c r="N91" s="15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5"/>
      <c r="I92" s="15"/>
      <c r="J92" s="15"/>
      <c r="K92" s="15"/>
      <c r="L92" s="15"/>
      <c r="M92" s="15"/>
      <c r="N92" s="15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5"/>
      <c r="I93" s="15"/>
      <c r="J93" s="15"/>
      <c r="K93" s="15"/>
      <c r="L93" s="15"/>
      <c r="M93" s="15"/>
      <c r="N93" s="15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5"/>
      <c r="I94" s="15"/>
      <c r="J94" s="15"/>
      <c r="K94" s="15"/>
      <c r="L94" s="15"/>
      <c r="M94" s="15"/>
      <c r="N94" s="15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5"/>
      <c r="I95" s="15"/>
      <c r="J95" s="15"/>
      <c r="K95" s="15"/>
      <c r="L95" s="15"/>
      <c r="M95" s="15"/>
      <c r="N95" s="15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5"/>
      <c r="I96" s="15"/>
      <c r="J96" s="15"/>
      <c r="K96" s="15"/>
      <c r="L96" s="15"/>
      <c r="M96" s="15"/>
      <c r="N96" s="15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5"/>
      <c r="I97" s="15"/>
      <c r="J97" s="15"/>
      <c r="K97" s="15"/>
      <c r="L97" s="15"/>
      <c r="M97" s="15"/>
      <c r="N97" s="15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5"/>
      <c r="I98" s="15"/>
      <c r="J98" s="15"/>
      <c r="K98" s="15"/>
      <c r="L98" s="15"/>
      <c r="M98" s="15"/>
      <c r="N98" s="15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5"/>
      <c r="I99" s="15"/>
      <c r="J99" s="15"/>
      <c r="K99" s="15"/>
      <c r="L99" s="15"/>
      <c r="M99" s="15"/>
      <c r="N99" s="15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5"/>
      <c r="I100" s="15"/>
      <c r="J100" s="15"/>
      <c r="K100" s="15"/>
      <c r="L100" s="15"/>
      <c r="M100" s="15"/>
      <c r="N100" s="15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5"/>
      <c r="I101" s="15"/>
      <c r="J101" s="15"/>
      <c r="K101" s="15"/>
      <c r="L101" s="15"/>
      <c r="M101" s="15"/>
      <c r="N101" s="15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5"/>
      <c r="I102" s="15"/>
      <c r="J102" s="15"/>
      <c r="K102" s="15"/>
      <c r="L102" s="15"/>
      <c r="M102" s="15"/>
      <c r="N102" s="15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5"/>
      <c r="I103" s="15"/>
      <c r="J103" s="15"/>
      <c r="K103" s="15"/>
      <c r="L103" s="15"/>
      <c r="M103" s="15"/>
      <c r="N103" s="15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5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5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5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5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5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5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5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5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5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5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5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5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5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5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5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5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5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5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5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5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5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5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5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5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5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5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5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5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5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5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5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5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5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5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5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5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5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5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5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5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5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5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5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5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5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5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5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5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5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5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5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5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5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5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5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5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5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5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5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5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5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5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5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5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5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5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5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5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5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5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5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5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5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5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5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5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5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5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5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5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5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5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5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5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5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5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5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5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5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5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5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5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5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5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5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5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5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5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5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5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5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5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5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5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5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5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5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5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5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5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5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5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5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5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5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5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5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5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5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5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5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5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5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5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5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5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5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5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5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5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5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5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5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5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5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5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5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5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5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5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5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5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5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5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5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5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5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5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5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5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5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5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5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5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5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5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5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5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5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5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5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5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5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5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5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5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5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5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5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5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5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5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5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5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5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5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5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5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5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5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5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5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5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5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5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5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5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5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5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5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5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5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5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5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5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5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5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5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5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5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5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5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5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5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5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5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5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5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5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5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5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5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5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5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5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5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5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5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5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5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5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5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5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5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5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5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5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5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5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5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5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5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5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5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5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5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5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5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5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5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5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5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5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5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5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5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5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5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5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5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5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5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5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5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5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5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5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5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5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5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5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5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5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5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5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5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5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5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5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5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5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5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5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5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5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5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5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5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5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5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5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5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5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5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5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5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5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5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5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5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5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5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5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5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5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5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5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5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5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5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5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5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5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5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5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5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5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5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5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5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5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5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5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5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5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5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5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5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5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5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5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5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5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5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5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5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5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5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5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5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5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5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5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5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5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5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5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5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5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5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5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5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5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5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5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5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5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5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5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5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5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5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5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5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5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5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5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5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5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5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5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5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5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5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5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5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5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5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5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5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5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5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5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5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5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5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5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5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5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5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5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5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5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5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5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5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5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5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5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5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5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5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5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5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5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5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5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5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5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5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5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5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5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5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5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5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5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5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5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5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5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5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5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5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5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5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5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5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5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5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5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5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5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5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5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5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5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5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5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5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5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5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5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5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5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5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5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5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5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5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5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5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5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5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5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5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5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5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5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5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5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5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5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5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5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5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5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5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5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5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5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5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5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5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5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5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5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5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5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5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5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5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5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5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5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5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5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5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5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5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5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5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5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5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5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5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5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5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5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5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5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5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5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5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5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5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5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5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5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5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5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5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5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5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5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5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5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5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5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5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5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5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5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5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5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5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5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5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5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5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5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5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5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5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5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5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5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5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5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5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5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5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5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5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5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5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5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5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5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5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5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5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5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5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5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5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5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5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5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5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5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5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5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5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5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5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5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5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5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5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5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5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5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5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5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5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5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5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5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5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5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5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5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5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5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5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5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5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5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5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5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5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5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5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5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5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5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5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5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5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5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5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5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5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5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5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5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5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5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5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5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5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5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5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5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5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5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5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5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5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5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5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5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5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5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5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5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5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5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5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5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5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5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5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5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5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5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5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5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5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5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5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5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5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5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5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5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5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5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5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5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5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5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5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5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5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5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5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5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5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5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5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5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5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5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5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5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5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5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5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5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5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5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5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5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5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5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5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5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5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5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5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5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5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5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5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5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5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5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5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5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5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5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5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5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5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5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5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5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5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5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5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5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5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5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5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5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5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5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5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5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5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5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5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5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5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5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5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5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5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5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5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5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5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5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5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5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5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5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5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5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5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5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5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5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5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5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5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5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5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5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5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5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5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5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O1"/>
    <mergeCell ref="A2:G2"/>
    <mergeCell ref="I2:O2"/>
    <mergeCell ref="P2:R2"/>
    <mergeCell ref="T2:V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21</v>
      </c>
      <c r="J1" s="2"/>
      <c r="K1" s="3" t="s">
        <v>22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4" t="s">
        <v>2</v>
      </c>
      <c r="H2" s="5"/>
      <c r="I2" s="6" t="s">
        <v>3</v>
      </c>
      <c r="P2" s="7" t="s">
        <v>4</v>
      </c>
      <c r="S2" s="8"/>
      <c r="T2" s="9" t="s">
        <v>5</v>
      </c>
      <c r="W2" s="2"/>
      <c r="X2" s="2"/>
      <c r="Y2" s="2"/>
      <c r="Z2" s="2"/>
      <c r="AA2" s="2"/>
      <c r="AB2" s="2"/>
      <c r="AC2" s="2"/>
    </row>
    <row r="3">
      <c r="A3" s="10" t="s">
        <v>6</v>
      </c>
      <c r="B3" s="10" t="s">
        <v>7</v>
      </c>
      <c r="C3" s="10" t="s">
        <v>8</v>
      </c>
      <c r="D3" s="10" t="s">
        <v>9</v>
      </c>
      <c r="E3" s="10" t="s">
        <v>10</v>
      </c>
      <c r="F3" s="11" t="s">
        <v>11</v>
      </c>
      <c r="G3" s="11" t="s">
        <v>20</v>
      </c>
      <c r="H3" s="12" t="s">
        <v>12</v>
      </c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  <c r="N3" s="11" t="s">
        <v>11</v>
      </c>
      <c r="O3" s="11" t="s">
        <v>20</v>
      </c>
      <c r="P3" s="13" t="s">
        <v>8</v>
      </c>
      <c r="Q3" s="13" t="s">
        <v>13</v>
      </c>
      <c r="R3" s="13" t="s">
        <v>10</v>
      </c>
      <c r="S3" s="13" t="s">
        <v>7</v>
      </c>
      <c r="T3" s="14" t="s">
        <v>5</v>
      </c>
      <c r="U3" s="8"/>
      <c r="V3" s="8"/>
      <c r="W3" s="2"/>
      <c r="X3" s="2"/>
      <c r="Y3" s="2"/>
      <c r="Z3" s="2"/>
      <c r="AA3" s="2"/>
      <c r="AB3" s="2"/>
      <c r="AC3" s="2"/>
    </row>
    <row r="4">
      <c r="A4" s="15">
        <v>50.0</v>
      </c>
      <c r="B4" s="15">
        <v>427.0</v>
      </c>
      <c r="C4" s="15">
        <v>42.0</v>
      </c>
      <c r="D4" s="15">
        <v>106.0</v>
      </c>
      <c r="E4" s="15">
        <v>150.0</v>
      </c>
      <c r="F4" s="15">
        <v>360.6998</v>
      </c>
      <c r="G4" s="15"/>
      <c r="H4" s="5">
        <f>MAX(C:C)</f>
        <v>265</v>
      </c>
      <c r="I4" s="15">
        <v>50.0</v>
      </c>
      <c r="J4" s="15">
        <v>427.0</v>
      </c>
      <c r="K4" s="15">
        <v>42.0</v>
      </c>
      <c r="L4" s="15">
        <v>106.0</v>
      </c>
      <c r="M4" s="15">
        <v>150.0</v>
      </c>
      <c r="N4" s="15">
        <v>42.91891</v>
      </c>
      <c r="O4" s="2"/>
      <c r="P4" s="16" t="b">
        <f t="shared" ref="P4:R4" si="1">C4=K4</f>
        <v>1</v>
      </c>
      <c r="Q4" s="16" t="b">
        <f t="shared" si="1"/>
        <v>1</v>
      </c>
      <c r="R4" s="16" t="b">
        <f t="shared" si="1"/>
        <v>1</v>
      </c>
      <c r="S4" s="17">
        <f t="shared" ref="S4:S53" si="3">J4</f>
        <v>427</v>
      </c>
      <c r="T4" s="18">
        <f t="shared" ref="T4:T53" si="4">F4/N4</f>
        <v>8.40421623</v>
      </c>
      <c r="U4" s="19" t="s">
        <v>14</v>
      </c>
      <c r="V4" s="20">
        <f>AVERAGE(T:T)</f>
        <v>6.883078707</v>
      </c>
      <c r="W4" s="2"/>
      <c r="X4" s="2"/>
      <c r="Y4" s="2"/>
      <c r="Z4" s="2"/>
      <c r="AA4" s="2"/>
      <c r="AB4" s="2"/>
      <c r="AC4" s="2"/>
    </row>
    <row r="5">
      <c r="A5" s="15">
        <v>51.0</v>
      </c>
      <c r="B5" s="15">
        <v>415.0</v>
      </c>
      <c r="C5" s="15">
        <v>51.0</v>
      </c>
      <c r="D5" s="15">
        <v>380.0</v>
      </c>
      <c r="E5" s="15">
        <v>407.0</v>
      </c>
      <c r="F5" s="15">
        <v>341.2452</v>
      </c>
      <c r="G5" s="15"/>
      <c r="H5" s="12" t="s">
        <v>15</v>
      </c>
      <c r="I5" s="15">
        <v>51.0</v>
      </c>
      <c r="J5" s="15">
        <v>415.0</v>
      </c>
      <c r="K5" s="15">
        <v>51.0</v>
      </c>
      <c r="L5" s="15">
        <v>380.0</v>
      </c>
      <c r="M5" s="15">
        <v>407.0</v>
      </c>
      <c r="N5" s="15">
        <v>39.20998</v>
      </c>
      <c r="O5" s="2"/>
      <c r="P5" s="16" t="b">
        <f t="shared" ref="P5:R5" si="2">C5=K5</f>
        <v>1</v>
      </c>
      <c r="Q5" s="16" t="b">
        <f t="shared" si="2"/>
        <v>1</v>
      </c>
      <c r="R5" s="16" t="b">
        <f t="shared" si="2"/>
        <v>1</v>
      </c>
      <c r="S5" s="17">
        <f t="shared" si="3"/>
        <v>415</v>
      </c>
      <c r="T5" s="18">
        <f t="shared" si="4"/>
        <v>8.703018976</v>
      </c>
      <c r="U5" s="19" t="s">
        <v>16</v>
      </c>
      <c r="V5" s="20">
        <f>max(T:T)</f>
        <v>13.71201394</v>
      </c>
      <c r="W5" s="2"/>
      <c r="X5" s="2"/>
      <c r="Y5" s="2"/>
      <c r="Z5" s="2"/>
      <c r="AA5" s="2"/>
      <c r="AB5" s="2"/>
      <c r="AC5" s="2"/>
    </row>
    <row r="6">
      <c r="A6" s="15">
        <v>52.0</v>
      </c>
      <c r="B6" s="15">
        <v>431.0</v>
      </c>
      <c r="C6" s="15">
        <v>50.0</v>
      </c>
      <c r="D6" s="15">
        <v>363.0</v>
      </c>
      <c r="E6" s="15">
        <v>400.0</v>
      </c>
      <c r="F6" s="15">
        <v>355.5529</v>
      </c>
      <c r="G6" s="15"/>
      <c r="H6" s="5">
        <f t="array" ref="H6">INDEX(A:A, MATCH(H4, C:C, 0))</f>
        <v>85</v>
      </c>
      <c r="I6" s="15">
        <v>52.0</v>
      </c>
      <c r="J6" s="15">
        <v>431.0</v>
      </c>
      <c r="K6" s="15">
        <v>50.0</v>
      </c>
      <c r="L6" s="15">
        <v>363.0</v>
      </c>
      <c r="M6" s="15">
        <v>400.0</v>
      </c>
      <c r="N6" s="15">
        <v>42.40077</v>
      </c>
      <c r="O6" s="2"/>
      <c r="P6" s="16" t="b">
        <f t="shared" ref="P6:R6" si="5">C6=K6</f>
        <v>1</v>
      </c>
      <c r="Q6" s="16" t="b">
        <f t="shared" si="5"/>
        <v>1</v>
      </c>
      <c r="R6" s="16" t="b">
        <f t="shared" si="5"/>
        <v>1</v>
      </c>
      <c r="S6" s="17">
        <f t="shared" si="3"/>
        <v>431</v>
      </c>
      <c r="T6" s="18">
        <f t="shared" si="4"/>
        <v>8.385529319</v>
      </c>
      <c r="U6" s="19" t="s">
        <v>17</v>
      </c>
      <c r="V6" s="20">
        <f>MIN(T:T)</f>
        <v>2.453838136</v>
      </c>
      <c r="W6" s="2"/>
      <c r="X6" s="2"/>
      <c r="Y6" s="2"/>
      <c r="Z6" s="2"/>
      <c r="AA6" s="2"/>
      <c r="AB6" s="2"/>
      <c r="AC6" s="2"/>
    </row>
    <row r="7">
      <c r="A7" s="15">
        <v>53.0</v>
      </c>
      <c r="B7" s="15">
        <v>411.0</v>
      </c>
      <c r="C7" s="15">
        <v>67.0</v>
      </c>
      <c r="D7" s="15">
        <v>338.0</v>
      </c>
      <c r="E7" s="15">
        <v>396.0</v>
      </c>
      <c r="F7" s="15">
        <v>335.7929</v>
      </c>
      <c r="G7" s="15"/>
      <c r="H7" s="5"/>
      <c r="I7" s="15">
        <v>53.0</v>
      </c>
      <c r="J7" s="15">
        <v>411.0</v>
      </c>
      <c r="K7" s="15">
        <v>67.0</v>
      </c>
      <c r="L7" s="15">
        <v>338.0</v>
      </c>
      <c r="M7" s="15">
        <v>396.0</v>
      </c>
      <c r="N7" s="15">
        <v>46.07898</v>
      </c>
      <c r="O7" s="2"/>
      <c r="P7" s="16" t="b">
        <f t="shared" ref="P7:R7" si="6">C7=K7</f>
        <v>1</v>
      </c>
      <c r="Q7" s="16" t="b">
        <f t="shared" si="6"/>
        <v>1</v>
      </c>
      <c r="R7" s="16" t="b">
        <f t="shared" si="6"/>
        <v>1</v>
      </c>
      <c r="S7" s="17">
        <f t="shared" si="3"/>
        <v>411</v>
      </c>
      <c r="T7" s="18">
        <f t="shared" si="4"/>
        <v>7.287333617</v>
      </c>
      <c r="U7" s="8"/>
      <c r="V7" s="8"/>
      <c r="W7" s="2"/>
      <c r="X7" s="2"/>
      <c r="Y7" s="2"/>
      <c r="Z7" s="2"/>
      <c r="AA7" s="2"/>
      <c r="AB7" s="2"/>
      <c r="AC7" s="2"/>
    </row>
    <row r="8">
      <c r="A8" s="15">
        <v>54.0</v>
      </c>
      <c r="B8" s="15">
        <v>411.0</v>
      </c>
      <c r="C8" s="15">
        <v>45.0</v>
      </c>
      <c r="D8" s="15">
        <v>131.0</v>
      </c>
      <c r="E8" s="15">
        <v>175.0</v>
      </c>
      <c r="F8" s="15">
        <v>333.3445</v>
      </c>
      <c r="G8" s="15"/>
      <c r="H8" s="5"/>
      <c r="I8" s="15">
        <v>54.0</v>
      </c>
      <c r="J8" s="15">
        <v>411.0</v>
      </c>
      <c r="K8" s="15">
        <v>45.0</v>
      </c>
      <c r="L8" s="15">
        <v>131.0</v>
      </c>
      <c r="M8" s="15">
        <v>175.0</v>
      </c>
      <c r="N8" s="15">
        <v>46.39846</v>
      </c>
      <c r="O8" s="2"/>
      <c r="P8" s="16" t="b">
        <f t="shared" ref="P8:R8" si="7">C8=K8</f>
        <v>1</v>
      </c>
      <c r="Q8" s="16" t="b">
        <f t="shared" si="7"/>
        <v>1</v>
      </c>
      <c r="R8" s="16" t="b">
        <f t="shared" si="7"/>
        <v>1</v>
      </c>
      <c r="S8" s="17">
        <f t="shared" si="3"/>
        <v>411</v>
      </c>
      <c r="T8" s="18">
        <f t="shared" si="4"/>
        <v>7.184387154</v>
      </c>
      <c r="U8" s="8"/>
      <c r="V8" s="8"/>
      <c r="W8" s="2"/>
      <c r="X8" s="2"/>
      <c r="Y8" s="2"/>
      <c r="Z8" s="2"/>
      <c r="AA8" s="2"/>
      <c r="AB8" s="2"/>
      <c r="AC8" s="2"/>
    </row>
    <row r="9">
      <c r="A9" s="15">
        <v>55.0</v>
      </c>
      <c r="B9" s="15">
        <v>394.0</v>
      </c>
      <c r="C9" s="15">
        <v>51.0</v>
      </c>
      <c r="D9" s="15">
        <v>290.0</v>
      </c>
      <c r="E9" s="15">
        <v>339.0</v>
      </c>
      <c r="F9" s="15">
        <v>320.4104</v>
      </c>
      <c r="G9" s="15"/>
      <c r="H9" s="5"/>
      <c r="I9" s="15">
        <v>55.0</v>
      </c>
      <c r="J9" s="15">
        <v>394.0</v>
      </c>
      <c r="K9" s="15">
        <v>51.0</v>
      </c>
      <c r="L9" s="15">
        <v>290.0</v>
      </c>
      <c r="M9" s="15">
        <v>339.0</v>
      </c>
      <c r="N9" s="15">
        <v>44.11597</v>
      </c>
      <c r="O9" s="2"/>
      <c r="P9" s="16" t="b">
        <f t="shared" ref="P9:R9" si="8">C9=K9</f>
        <v>1</v>
      </c>
      <c r="Q9" s="16" t="b">
        <f t="shared" si="8"/>
        <v>1</v>
      </c>
      <c r="R9" s="16" t="b">
        <f t="shared" si="8"/>
        <v>1</v>
      </c>
      <c r="S9" s="17">
        <f t="shared" si="3"/>
        <v>394</v>
      </c>
      <c r="T9" s="18">
        <f t="shared" si="4"/>
        <v>7.262911821</v>
      </c>
      <c r="U9" s="8"/>
      <c r="V9" s="8"/>
      <c r="W9" s="2"/>
      <c r="X9" s="2"/>
      <c r="Y9" s="2"/>
      <c r="Z9" s="2"/>
      <c r="AA9" s="2"/>
      <c r="AB9" s="2"/>
      <c r="AC9" s="2"/>
    </row>
    <row r="10">
      <c r="A10" s="15">
        <v>56.0</v>
      </c>
      <c r="B10" s="15">
        <v>142.0</v>
      </c>
      <c r="C10" s="15">
        <v>46.0</v>
      </c>
      <c r="D10" s="15">
        <v>14.0</v>
      </c>
      <c r="E10" s="15">
        <v>68.0</v>
      </c>
      <c r="F10" s="15">
        <v>115.6541</v>
      </c>
      <c r="G10" s="15"/>
      <c r="H10" s="5"/>
      <c r="I10" s="15">
        <v>56.0</v>
      </c>
      <c r="J10" s="15">
        <v>142.0</v>
      </c>
      <c r="K10" s="15">
        <v>46.0</v>
      </c>
      <c r="L10" s="15">
        <v>14.0</v>
      </c>
      <c r="M10" s="15">
        <v>68.0</v>
      </c>
      <c r="N10" s="15">
        <v>33.40698</v>
      </c>
      <c r="O10" s="2"/>
      <c r="P10" s="16" t="b">
        <f t="shared" ref="P10:R10" si="9">C10=K10</f>
        <v>1</v>
      </c>
      <c r="Q10" s="16" t="b">
        <f t="shared" si="9"/>
        <v>1</v>
      </c>
      <c r="R10" s="16" t="b">
        <f t="shared" si="9"/>
        <v>1</v>
      </c>
      <c r="S10" s="17">
        <f t="shared" si="3"/>
        <v>142</v>
      </c>
      <c r="T10" s="18">
        <f t="shared" si="4"/>
        <v>3.461974114</v>
      </c>
      <c r="U10" s="8"/>
      <c r="V10" s="8"/>
      <c r="W10" s="2"/>
      <c r="X10" s="2"/>
      <c r="Y10" s="2"/>
      <c r="Z10" s="2"/>
      <c r="AA10" s="2"/>
      <c r="AB10" s="2"/>
      <c r="AC10" s="2"/>
    </row>
    <row r="11">
      <c r="A11" s="15">
        <v>57.0</v>
      </c>
      <c r="B11" s="15">
        <v>433.0</v>
      </c>
      <c r="C11" s="15">
        <v>37.0</v>
      </c>
      <c r="D11" s="15">
        <v>186.0</v>
      </c>
      <c r="E11" s="15">
        <v>230.0</v>
      </c>
      <c r="F11" s="15">
        <v>350.2571</v>
      </c>
      <c r="G11" s="15"/>
      <c r="H11" s="5"/>
      <c r="I11" s="15">
        <v>57.0</v>
      </c>
      <c r="J11" s="15">
        <v>433.0</v>
      </c>
      <c r="K11" s="15">
        <v>37.0</v>
      </c>
      <c r="L11" s="15">
        <v>186.0</v>
      </c>
      <c r="M11" s="15">
        <v>230.0</v>
      </c>
      <c r="N11" s="15">
        <v>45.63354</v>
      </c>
      <c r="O11" s="2"/>
      <c r="P11" s="16" t="b">
        <f t="shared" ref="P11:R11" si="10">C11=K11</f>
        <v>1</v>
      </c>
      <c r="Q11" s="16" t="b">
        <f t="shared" si="10"/>
        <v>1</v>
      </c>
      <c r="R11" s="16" t="b">
        <f t="shared" si="10"/>
        <v>1</v>
      </c>
      <c r="S11" s="17">
        <f t="shared" si="3"/>
        <v>433</v>
      </c>
      <c r="T11" s="18">
        <f t="shared" si="4"/>
        <v>7.675431273</v>
      </c>
      <c r="U11" s="8"/>
      <c r="V11" s="8"/>
      <c r="W11" s="2"/>
      <c r="X11" s="2"/>
      <c r="Y11" s="2"/>
      <c r="Z11" s="2"/>
      <c r="AA11" s="2"/>
      <c r="AB11" s="2"/>
      <c r="AC11" s="2"/>
    </row>
    <row r="12">
      <c r="A12" s="15">
        <v>58.0</v>
      </c>
      <c r="B12" s="15">
        <v>434.0</v>
      </c>
      <c r="C12" s="15">
        <v>37.0</v>
      </c>
      <c r="D12" s="15">
        <v>211.0</v>
      </c>
      <c r="E12" s="15">
        <v>241.0</v>
      </c>
      <c r="F12" s="15">
        <v>352.0076</v>
      </c>
      <c r="G12" s="15"/>
      <c r="H12" s="5"/>
      <c r="I12" s="15">
        <v>58.0</v>
      </c>
      <c r="J12" s="15">
        <v>434.0</v>
      </c>
      <c r="K12" s="15">
        <v>37.0</v>
      </c>
      <c r="L12" s="15">
        <v>211.0</v>
      </c>
      <c r="M12" s="15">
        <v>241.0</v>
      </c>
      <c r="N12" s="15">
        <v>42.60762</v>
      </c>
      <c r="O12" s="2"/>
      <c r="P12" s="16" t="b">
        <f t="shared" ref="P12:R12" si="11">C12=K12</f>
        <v>1</v>
      </c>
      <c r="Q12" s="16" t="b">
        <f t="shared" si="11"/>
        <v>1</v>
      </c>
      <c r="R12" s="16" t="b">
        <f t="shared" si="11"/>
        <v>1</v>
      </c>
      <c r="S12" s="17">
        <f t="shared" si="3"/>
        <v>434</v>
      </c>
      <c r="T12" s="18">
        <f t="shared" si="4"/>
        <v>8.261611421</v>
      </c>
      <c r="U12" s="8"/>
      <c r="V12" s="8"/>
      <c r="W12" s="2"/>
      <c r="X12" s="2"/>
      <c r="Y12" s="2"/>
      <c r="Z12" s="2"/>
      <c r="AA12" s="2"/>
      <c r="AB12" s="2"/>
      <c r="AC12" s="2"/>
    </row>
    <row r="13">
      <c r="A13" s="15">
        <v>59.0</v>
      </c>
      <c r="B13" s="15">
        <v>256.0</v>
      </c>
      <c r="C13" s="15">
        <v>43.0</v>
      </c>
      <c r="D13" s="15">
        <v>129.0</v>
      </c>
      <c r="E13" s="15">
        <v>165.0</v>
      </c>
      <c r="F13" s="15">
        <v>210.4427</v>
      </c>
      <c r="G13" s="15"/>
      <c r="H13" s="5"/>
      <c r="I13" s="15">
        <v>59.0</v>
      </c>
      <c r="J13" s="15">
        <v>256.0</v>
      </c>
      <c r="K13" s="15">
        <v>43.0</v>
      </c>
      <c r="L13" s="15">
        <v>129.0</v>
      </c>
      <c r="M13" s="15">
        <v>165.0</v>
      </c>
      <c r="N13" s="15">
        <v>35.27578</v>
      </c>
      <c r="O13" s="2"/>
      <c r="P13" s="16" t="b">
        <f t="shared" ref="P13:R13" si="12">C13=K13</f>
        <v>1</v>
      </c>
      <c r="Q13" s="16" t="b">
        <f t="shared" si="12"/>
        <v>1</v>
      </c>
      <c r="R13" s="16" t="b">
        <f t="shared" si="12"/>
        <v>1</v>
      </c>
      <c r="S13" s="17">
        <f t="shared" si="3"/>
        <v>256</v>
      </c>
      <c r="T13" s="18">
        <f t="shared" si="4"/>
        <v>5.965642716</v>
      </c>
      <c r="U13" s="8"/>
      <c r="V13" s="8"/>
      <c r="W13" s="2"/>
      <c r="X13" s="2"/>
      <c r="Y13" s="2"/>
      <c r="Z13" s="2"/>
      <c r="AA13" s="2"/>
      <c r="AB13" s="2"/>
      <c r="AC13" s="2"/>
    </row>
    <row r="14">
      <c r="A14" s="15">
        <v>60.0</v>
      </c>
      <c r="B14" s="15">
        <v>322.0</v>
      </c>
      <c r="C14" s="15">
        <v>42.0</v>
      </c>
      <c r="D14" s="15">
        <v>218.0</v>
      </c>
      <c r="E14" s="15">
        <v>263.0</v>
      </c>
      <c r="F14" s="15">
        <v>260.4681</v>
      </c>
      <c r="G14" s="15"/>
      <c r="H14" s="5"/>
      <c r="I14" s="15">
        <v>60.0</v>
      </c>
      <c r="J14" s="15">
        <v>322.0</v>
      </c>
      <c r="K14" s="15">
        <v>42.0</v>
      </c>
      <c r="L14" s="15">
        <v>218.0</v>
      </c>
      <c r="M14" s="15">
        <v>263.0</v>
      </c>
      <c r="N14" s="15">
        <v>41.25184</v>
      </c>
      <c r="O14" s="2"/>
      <c r="P14" s="16" t="b">
        <f t="shared" ref="P14:R14" si="13">C14=K14</f>
        <v>1</v>
      </c>
      <c r="Q14" s="16" t="b">
        <f t="shared" si="13"/>
        <v>1</v>
      </c>
      <c r="R14" s="16" t="b">
        <f t="shared" si="13"/>
        <v>1</v>
      </c>
      <c r="S14" s="17">
        <f t="shared" si="3"/>
        <v>322</v>
      </c>
      <c r="T14" s="18">
        <f t="shared" si="4"/>
        <v>6.314096535</v>
      </c>
      <c r="U14" s="8"/>
      <c r="V14" s="8"/>
      <c r="W14" s="2"/>
      <c r="X14" s="2"/>
      <c r="Y14" s="2"/>
      <c r="Z14" s="2"/>
      <c r="AA14" s="2"/>
      <c r="AB14" s="2"/>
      <c r="AC14" s="2"/>
    </row>
    <row r="15">
      <c r="A15" s="15">
        <v>61.0</v>
      </c>
      <c r="B15" s="15">
        <v>358.0</v>
      </c>
      <c r="C15" s="15">
        <v>52.0</v>
      </c>
      <c r="D15" s="15">
        <v>72.0</v>
      </c>
      <c r="E15" s="15">
        <v>113.0</v>
      </c>
      <c r="F15" s="15">
        <v>290.9972</v>
      </c>
      <c r="G15" s="15"/>
      <c r="H15" s="5"/>
      <c r="I15" s="15">
        <v>61.0</v>
      </c>
      <c r="J15" s="15">
        <v>358.0</v>
      </c>
      <c r="K15" s="15">
        <v>52.0</v>
      </c>
      <c r="L15" s="15">
        <v>72.0</v>
      </c>
      <c r="M15" s="15">
        <v>113.0</v>
      </c>
      <c r="N15" s="15">
        <v>46.2336</v>
      </c>
      <c r="O15" s="2"/>
      <c r="P15" s="16" t="b">
        <f t="shared" ref="P15:R15" si="14">C15=K15</f>
        <v>1</v>
      </c>
      <c r="Q15" s="16" t="b">
        <f t="shared" si="14"/>
        <v>1</v>
      </c>
      <c r="R15" s="16" t="b">
        <f t="shared" si="14"/>
        <v>1</v>
      </c>
      <c r="S15" s="17">
        <f t="shared" si="3"/>
        <v>358</v>
      </c>
      <c r="T15" s="18">
        <f t="shared" si="4"/>
        <v>6.294063192</v>
      </c>
      <c r="U15" s="8"/>
      <c r="V15" s="8"/>
      <c r="W15" s="2"/>
      <c r="X15" s="2"/>
      <c r="Y15" s="2"/>
      <c r="Z15" s="2"/>
      <c r="AA15" s="2"/>
      <c r="AB15" s="2"/>
      <c r="AC15" s="2"/>
    </row>
    <row r="16">
      <c r="A16" s="15">
        <v>62.0</v>
      </c>
      <c r="B16" s="15">
        <v>173.0</v>
      </c>
      <c r="C16" s="15">
        <v>46.0</v>
      </c>
      <c r="D16" s="15">
        <v>45.0</v>
      </c>
      <c r="E16" s="15">
        <v>99.0</v>
      </c>
      <c r="F16" s="15">
        <v>141.1828</v>
      </c>
      <c r="G16" s="15"/>
      <c r="H16" s="5"/>
      <c r="I16" s="15">
        <v>62.0</v>
      </c>
      <c r="J16" s="15">
        <v>173.0</v>
      </c>
      <c r="K16" s="15">
        <v>46.0</v>
      </c>
      <c r="L16" s="15">
        <v>45.0</v>
      </c>
      <c r="M16" s="15">
        <v>99.0</v>
      </c>
      <c r="N16" s="15">
        <v>35.07303</v>
      </c>
      <c r="O16" s="2"/>
      <c r="P16" s="16" t="b">
        <f t="shared" ref="P16:R16" si="15">C16=K16</f>
        <v>1</v>
      </c>
      <c r="Q16" s="16" t="b">
        <f t="shared" si="15"/>
        <v>1</v>
      </c>
      <c r="R16" s="16" t="b">
        <f t="shared" si="15"/>
        <v>1</v>
      </c>
      <c r="S16" s="17">
        <f t="shared" si="3"/>
        <v>173</v>
      </c>
      <c r="T16" s="18">
        <f t="shared" si="4"/>
        <v>4.025395011</v>
      </c>
      <c r="U16" s="8"/>
      <c r="V16" s="8"/>
      <c r="W16" s="2"/>
      <c r="X16" s="2"/>
      <c r="Y16" s="2"/>
      <c r="Z16" s="2"/>
      <c r="AA16" s="2"/>
      <c r="AB16" s="2"/>
      <c r="AC16" s="2"/>
    </row>
    <row r="17">
      <c r="A17" s="15">
        <v>63.0</v>
      </c>
      <c r="B17" s="15">
        <v>184.0</v>
      </c>
      <c r="C17" s="15">
        <v>56.0</v>
      </c>
      <c r="D17" s="15">
        <v>41.0</v>
      </c>
      <c r="E17" s="15">
        <v>81.0</v>
      </c>
      <c r="F17" s="15">
        <v>149.3481</v>
      </c>
      <c r="G17" s="15"/>
      <c r="H17" s="5"/>
      <c r="I17" s="15">
        <v>63.0</v>
      </c>
      <c r="J17" s="15">
        <v>184.0</v>
      </c>
      <c r="K17" s="15">
        <v>56.0</v>
      </c>
      <c r="L17" s="15">
        <v>41.0</v>
      </c>
      <c r="M17" s="15">
        <v>81.0</v>
      </c>
      <c r="N17" s="15">
        <v>33.24928</v>
      </c>
      <c r="O17" s="2"/>
      <c r="P17" s="16" t="b">
        <f t="shared" ref="P17:R17" si="16">C17=K17</f>
        <v>1</v>
      </c>
      <c r="Q17" s="16" t="b">
        <f t="shared" si="16"/>
        <v>1</v>
      </c>
      <c r="R17" s="16" t="b">
        <f t="shared" si="16"/>
        <v>1</v>
      </c>
      <c r="S17" s="17">
        <f t="shared" si="3"/>
        <v>184</v>
      </c>
      <c r="T17" s="18">
        <f t="shared" si="4"/>
        <v>4.491769446</v>
      </c>
      <c r="U17" s="8"/>
      <c r="V17" s="8"/>
      <c r="W17" s="2"/>
      <c r="X17" s="2"/>
      <c r="Y17" s="2"/>
      <c r="Z17" s="2"/>
      <c r="AA17" s="2"/>
      <c r="AB17" s="2"/>
      <c r="AC17" s="2"/>
    </row>
    <row r="18">
      <c r="A18" s="15">
        <v>64.0</v>
      </c>
      <c r="B18" s="15">
        <v>240.0</v>
      </c>
      <c r="C18" s="15">
        <v>37.0</v>
      </c>
      <c r="D18" s="15">
        <v>13.0</v>
      </c>
      <c r="E18" s="15">
        <v>53.0</v>
      </c>
      <c r="F18" s="15">
        <v>196.3746</v>
      </c>
      <c r="G18" s="15"/>
      <c r="H18" s="5"/>
      <c r="I18" s="15">
        <v>64.0</v>
      </c>
      <c r="J18" s="15">
        <v>240.0</v>
      </c>
      <c r="K18" s="15">
        <v>37.0</v>
      </c>
      <c r="L18" s="15">
        <v>13.0</v>
      </c>
      <c r="M18" s="15">
        <v>53.0</v>
      </c>
      <c r="N18" s="15">
        <v>36.62131</v>
      </c>
      <c r="O18" s="2"/>
      <c r="P18" s="16" t="b">
        <f t="shared" ref="P18:R18" si="17">C18=K18</f>
        <v>1</v>
      </c>
      <c r="Q18" s="16" t="b">
        <f t="shared" si="17"/>
        <v>1</v>
      </c>
      <c r="R18" s="16" t="b">
        <f t="shared" si="17"/>
        <v>1</v>
      </c>
      <c r="S18" s="17">
        <f t="shared" si="3"/>
        <v>240</v>
      </c>
      <c r="T18" s="18">
        <f t="shared" si="4"/>
        <v>5.362304079</v>
      </c>
      <c r="U18" s="8"/>
      <c r="V18" s="8"/>
      <c r="W18" s="2"/>
      <c r="X18" s="2"/>
      <c r="Y18" s="2"/>
      <c r="Z18" s="2"/>
      <c r="AA18" s="2"/>
      <c r="AB18" s="2"/>
      <c r="AC18" s="2"/>
    </row>
    <row r="19">
      <c r="A19" s="15">
        <v>65.0</v>
      </c>
      <c r="B19" s="15">
        <v>413.0</v>
      </c>
      <c r="C19" s="15">
        <v>39.0</v>
      </c>
      <c r="D19" s="15">
        <v>275.0</v>
      </c>
      <c r="E19" s="15">
        <v>310.0</v>
      </c>
      <c r="F19" s="15">
        <v>335.3298</v>
      </c>
      <c r="G19" s="15"/>
      <c r="H19" s="5"/>
      <c r="I19" s="15">
        <v>65.0</v>
      </c>
      <c r="J19" s="15">
        <v>413.0</v>
      </c>
      <c r="K19" s="15">
        <v>39.0</v>
      </c>
      <c r="L19" s="15">
        <v>275.0</v>
      </c>
      <c r="M19" s="15">
        <v>310.0</v>
      </c>
      <c r="N19" s="15">
        <v>46.16397</v>
      </c>
      <c r="O19" s="2"/>
      <c r="P19" s="16" t="b">
        <f t="shared" ref="P19:R19" si="18">C19=K19</f>
        <v>1</v>
      </c>
      <c r="Q19" s="16" t="b">
        <f t="shared" si="18"/>
        <v>1</v>
      </c>
      <c r="R19" s="16" t="b">
        <f t="shared" si="18"/>
        <v>1</v>
      </c>
      <c r="S19" s="17">
        <f t="shared" si="3"/>
        <v>413</v>
      </c>
      <c r="T19" s="18">
        <f t="shared" si="4"/>
        <v>7.263885667</v>
      </c>
      <c r="U19" s="8"/>
      <c r="V19" s="8"/>
      <c r="W19" s="2"/>
      <c r="X19" s="2"/>
      <c r="Y19" s="2"/>
      <c r="Z19" s="2"/>
      <c r="AA19" s="2"/>
      <c r="AB19" s="2"/>
      <c r="AC19" s="2"/>
    </row>
    <row r="20">
      <c r="A20" s="15">
        <v>66.0</v>
      </c>
      <c r="B20" s="15">
        <v>172.0</v>
      </c>
      <c r="C20" s="15">
        <v>29.0</v>
      </c>
      <c r="D20" s="15">
        <v>78.0</v>
      </c>
      <c r="E20" s="15">
        <v>131.0</v>
      </c>
      <c r="F20" s="15">
        <v>140.1833</v>
      </c>
      <c r="G20" s="15"/>
      <c r="H20" s="5"/>
      <c r="I20" s="15">
        <v>66.0</v>
      </c>
      <c r="J20" s="15">
        <v>172.0</v>
      </c>
      <c r="K20" s="15">
        <v>29.0</v>
      </c>
      <c r="L20" s="15">
        <v>78.0</v>
      </c>
      <c r="M20" s="15">
        <v>131.0</v>
      </c>
      <c r="N20" s="15">
        <v>35.17235</v>
      </c>
      <c r="O20" s="2"/>
      <c r="P20" s="16" t="b">
        <f t="shared" ref="P20:R20" si="19">C20=K20</f>
        <v>1</v>
      </c>
      <c r="Q20" s="16" t="b">
        <f t="shared" si="19"/>
        <v>1</v>
      </c>
      <c r="R20" s="16" t="b">
        <f t="shared" si="19"/>
        <v>1</v>
      </c>
      <c r="S20" s="17">
        <f t="shared" si="3"/>
        <v>172</v>
      </c>
      <c r="T20" s="18">
        <f t="shared" si="4"/>
        <v>3.985610856</v>
      </c>
      <c r="U20" s="8"/>
      <c r="V20" s="8"/>
      <c r="W20" s="2"/>
      <c r="X20" s="2"/>
      <c r="Y20" s="2"/>
      <c r="Z20" s="2"/>
      <c r="AA20" s="2"/>
      <c r="AB20" s="2"/>
      <c r="AC20" s="2"/>
    </row>
    <row r="21">
      <c r="A21" s="15">
        <v>67.0</v>
      </c>
      <c r="B21" s="15">
        <v>300.0</v>
      </c>
      <c r="C21" s="15">
        <v>67.0</v>
      </c>
      <c r="D21" s="15">
        <v>76.0</v>
      </c>
      <c r="E21" s="15">
        <v>113.0</v>
      </c>
      <c r="F21" s="15">
        <v>243.6571</v>
      </c>
      <c r="G21" s="15"/>
      <c r="H21" s="5"/>
      <c r="I21" s="15">
        <v>67.0</v>
      </c>
      <c r="J21" s="15">
        <v>300.0</v>
      </c>
      <c r="K21" s="15">
        <v>67.0</v>
      </c>
      <c r="L21" s="15">
        <v>76.0</v>
      </c>
      <c r="M21" s="15">
        <v>113.0</v>
      </c>
      <c r="N21" s="15">
        <v>40.11008</v>
      </c>
      <c r="O21" s="2"/>
      <c r="P21" s="16" t="b">
        <f t="shared" ref="P21:R21" si="20">C21=K21</f>
        <v>1</v>
      </c>
      <c r="Q21" s="16" t="b">
        <f t="shared" si="20"/>
        <v>1</v>
      </c>
      <c r="R21" s="16" t="b">
        <f t="shared" si="20"/>
        <v>1</v>
      </c>
      <c r="S21" s="17">
        <f t="shared" si="3"/>
        <v>300</v>
      </c>
      <c r="T21" s="18">
        <f t="shared" si="4"/>
        <v>6.074709898</v>
      </c>
      <c r="U21" s="8"/>
      <c r="V21" s="8"/>
      <c r="W21" s="2"/>
      <c r="X21" s="2"/>
      <c r="Y21" s="2"/>
      <c r="Z21" s="2"/>
      <c r="AA21" s="2"/>
      <c r="AB21" s="2"/>
      <c r="AC21" s="2"/>
    </row>
    <row r="22">
      <c r="A22" s="15">
        <v>68.0</v>
      </c>
      <c r="B22" s="15">
        <v>215.0</v>
      </c>
      <c r="C22" s="15">
        <v>29.0</v>
      </c>
      <c r="D22" s="15">
        <v>137.0</v>
      </c>
      <c r="E22" s="15">
        <v>166.0</v>
      </c>
      <c r="F22" s="15">
        <v>176.1212</v>
      </c>
      <c r="G22" s="15"/>
      <c r="H22" s="5"/>
      <c r="I22" s="15">
        <v>68.0</v>
      </c>
      <c r="J22" s="15">
        <v>215.0</v>
      </c>
      <c r="K22" s="15">
        <v>29.0</v>
      </c>
      <c r="L22" s="15">
        <v>137.0</v>
      </c>
      <c r="M22" s="15">
        <v>166.0</v>
      </c>
      <c r="N22" s="15">
        <v>31.47162</v>
      </c>
      <c r="O22" s="2"/>
      <c r="P22" s="16" t="b">
        <f t="shared" ref="P22:R22" si="21">C22=K22</f>
        <v>1</v>
      </c>
      <c r="Q22" s="16" t="b">
        <f t="shared" si="21"/>
        <v>1</v>
      </c>
      <c r="R22" s="16" t="b">
        <f t="shared" si="21"/>
        <v>1</v>
      </c>
      <c r="S22" s="17">
        <f t="shared" si="3"/>
        <v>215</v>
      </c>
      <c r="T22" s="18">
        <f t="shared" si="4"/>
        <v>5.596191108</v>
      </c>
      <c r="U22" s="8"/>
      <c r="V22" s="8"/>
      <c r="W22" s="2"/>
      <c r="X22" s="2"/>
      <c r="Y22" s="2"/>
      <c r="Z22" s="2"/>
      <c r="AA22" s="2"/>
      <c r="AB22" s="2"/>
      <c r="AC22" s="2"/>
    </row>
    <row r="23">
      <c r="A23" s="15">
        <v>69.0</v>
      </c>
      <c r="B23" s="15">
        <v>175.0</v>
      </c>
      <c r="C23" s="15">
        <v>39.0</v>
      </c>
      <c r="D23" s="15">
        <v>18.0</v>
      </c>
      <c r="E23" s="15">
        <v>58.0</v>
      </c>
      <c r="F23" s="15">
        <v>143.1526</v>
      </c>
      <c r="G23" s="15"/>
      <c r="H23" s="5"/>
      <c r="I23" s="15">
        <v>69.0</v>
      </c>
      <c r="J23" s="15">
        <v>175.0</v>
      </c>
      <c r="K23" s="15">
        <v>39.0</v>
      </c>
      <c r="L23" s="15">
        <v>18.0</v>
      </c>
      <c r="M23" s="15">
        <v>58.0</v>
      </c>
      <c r="N23" s="15">
        <v>36.25984</v>
      </c>
      <c r="O23" s="2"/>
      <c r="P23" s="16" t="b">
        <f t="shared" ref="P23:R23" si="22">C23=K23</f>
        <v>1</v>
      </c>
      <c r="Q23" s="16" t="b">
        <f t="shared" si="22"/>
        <v>1</v>
      </c>
      <c r="R23" s="16" t="b">
        <f t="shared" si="22"/>
        <v>1</v>
      </c>
      <c r="S23" s="17">
        <f t="shared" si="3"/>
        <v>175</v>
      </c>
      <c r="T23" s="18">
        <f t="shared" si="4"/>
        <v>3.947965573</v>
      </c>
      <c r="U23" s="8"/>
      <c r="V23" s="8"/>
      <c r="W23" s="2"/>
      <c r="X23" s="2"/>
      <c r="Y23" s="2"/>
      <c r="Z23" s="2"/>
      <c r="AA23" s="2"/>
      <c r="AB23" s="2"/>
      <c r="AC23" s="2"/>
    </row>
    <row r="24">
      <c r="A24" s="15">
        <v>70.0</v>
      </c>
      <c r="B24" s="15">
        <v>352.0</v>
      </c>
      <c r="C24" s="15">
        <v>48.0</v>
      </c>
      <c r="D24" s="15">
        <v>241.0</v>
      </c>
      <c r="E24" s="15">
        <v>289.0</v>
      </c>
      <c r="F24" s="15">
        <v>287.3387</v>
      </c>
      <c r="G24" s="15"/>
      <c r="H24" s="5"/>
      <c r="I24" s="15">
        <v>70.0</v>
      </c>
      <c r="J24" s="15">
        <v>352.0</v>
      </c>
      <c r="K24" s="15">
        <v>48.0</v>
      </c>
      <c r="L24" s="15">
        <v>241.0</v>
      </c>
      <c r="M24" s="15">
        <v>289.0</v>
      </c>
      <c r="N24" s="15">
        <v>45.18912</v>
      </c>
      <c r="O24" s="2"/>
      <c r="P24" s="16" t="b">
        <f t="shared" ref="P24:R24" si="23">C24=K24</f>
        <v>1</v>
      </c>
      <c r="Q24" s="16" t="b">
        <f t="shared" si="23"/>
        <v>1</v>
      </c>
      <c r="R24" s="16" t="b">
        <f t="shared" si="23"/>
        <v>1</v>
      </c>
      <c r="S24" s="17">
        <f t="shared" si="3"/>
        <v>352</v>
      </c>
      <c r="T24" s="18">
        <f t="shared" si="4"/>
        <v>6.358581446</v>
      </c>
      <c r="U24" s="8"/>
      <c r="V24" s="8"/>
      <c r="W24" s="2"/>
      <c r="X24" s="2"/>
      <c r="Y24" s="2"/>
      <c r="Z24" s="2"/>
      <c r="AA24" s="2"/>
      <c r="AB24" s="2"/>
      <c r="AC24" s="2"/>
    </row>
    <row r="25">
      <c r="A25" s="15">
        <v>71.0</v>
      </c>
      <c r="B25" s="15">
        <v>1105.0</v>
      </c>
      <c r="C25" s="15">
        <v>53.0</v>
      </c>
      <c r="D25" s="15">
        <v>6.0</v>
      </c>
      <c r="E25" s="15">
        <v>55.0</v>
      </c>
      <c r="F25" s="15">
        <v>903.9719</v>
      </c>
      <c r="G25" s="15"/>
      <c r="H25" s="5"/>
      <c r="I25" s="15">
        <v>71.0</v>
      </c>
      <c r="J25" s="15">
        <v>1105.0</v>
      </c>
      <c r="K25" s="15">
        <v>53.0</v>
      </c>
      <c r="L25" s="15">
        <v>6.0</v>
      </c>
      <c r="M25" s="15">
        <v>55.0</v>
      </c>
      <c r="N25" s="15">
        <v>91.52103</v>
      </c>
      <c r="O25" s="2"/>
      <c r="P25" s="16" t="b">
        <f t="shared" ref="P25:R25" si="24">C25=K25</f>
        <v>1</v>
      </c>
      <c r="Q25" s="16" t="b">
        <f t="shared" si="24"/>
        <v>1</v>
      </c>
      <c r="R25" s="16" t="b">
        <f t="shared" si="24"/>
        <v>1</v>
      </c>
      <c r="S25" s="17">
        <f t="shared" si="3"/>
        <v>1105</v>
      </c>
      <c r="T25" s="18">
        <f t="shared" si="4"/>
        <v>9.877204179</v>
      </c>
      <c r="U25" s="8"/>
      <c r="V25" s="8"/>
      <c r="W25" s="2"/>
      <c r="X25" s="2"/>
      <c r="Y25" s="2"/>
      <c r="Z25" s="2"/>
      <c r="AA25" s="2"/>
      <c r="AB25" s="2"/>
      <c r="AC25" s="2"/>
    </row>
    <row r="26">
      <c r="A26" s="15">
        <v>72.0</v>
      </c>
      <c r="B26" s="15">
        <v>409.0</v>
      </c>
      <c r="C26" s="15">
        <v>26.0</v>
      </c>
      <c r="D26" s="15">
        <v>286.0</v>
      </c>
      <c r="E26" s="15">
        <v>295.0</v>
      </c>
      <c r="F26" s="15">
        <v>334.1275</v>
      </c>
      <c r="G26" s="15"/>
      <c r="H26" s="5"/>
      <c r="I26" s="15">
        <v>72.0</v>
      </c>
      <c r="J26" s="15">
        <v>409.0</v>
      </c>
      <c r="K26" s="15">
        <v>26.0</v>
      </c>
      <c r="L26" s="15">
        <v>286.0</v>
      </c>
      <c r="M26" s="15">
        <v>295.0</v>
      </c>
      <c r="N26" s="15">
        <v>39.51411</v>
      </c>
      <c r="O26" s="2"/>
      <c r="P26" s="16" t="b">
        <f t="shared" ref="P26:R26" si="25">C26=K26</f>
        <v>1</v>
      </c>
      <c r="Q26" s="16" t="b">
        <f t="shared" si="25"/>
        <v>1</v>
      </c>
      <c r="R26" s="16" t="b">
        <f t="shared" si="25"/>
        <v>1</v>
      </c>
      <c r="S26" s="17">
        <f t="shared" si="3"/>
        <v>409</v>
      </c>
      <c r="T26" s="18">
        <f t="shared" si="4"/>
        <v>8.455903473</v>
      </c>
      <c r="U26" s="8"/>
      <c r="V26" s="8"/>
      <c r="W26" s="2"/>
      <c r="X26" s="2"/>
      <c r="Y26" s="2"/>
      <c r="Z26" s="2"/>
      <c r="AA26" s="2"/>
      <c r="AB26" s="2"/>
      <c r="AC26" s="2"/>
    </row>
    <row r="27">
      <c r="A27" s="15">
        <v>73.0</v>
      </c>
      <c r="B27" s="15">
        <v>528.0</v>
      </c>
      <c r="C27" s="15">
        <v>59.0</v>
      </c>
      <c r="D27" s="15">
        <v>400.0</v>
      </c>
      <c r="E27" s="15">
        <v>441.0</v>
      </c>
      <c r="F27" s="15">
        <v>430.034</v>
      </c>
      <c r="G27" s="15"/>
      <c r="H27" s="5"/>
      <c r="I27" s="15">
        <v>73.0</v>
      </c>
      <c r="J27" s="15">
        <v>528.0</v>
      </c>
      <c r="K27" s="15">
        <v>59.0</v>
      </c>
      <c r="L27" s="15">
        <v>400.0</v>
      </c>
      <c r="M27" s="15">
        <v>441.0</v>
      </c>
      <c r="N27" s="15">
        <v>56.77261</v>
      </c>
      <c r="O27" s="2"/>
      <c r="P27" s="16" t="b">
        <f t="shared" ref="P27:R27" si="26">C27=K27</f>
        <v>1</v>
      </c>
      <c r="Q27" s="16" t="b">
        <f t="shared" si="26"/>
        <v>1</v>
      </c>
      <c r="R27" s="16" t="b">
        <f t="shared" si="26"/>
        <v>1</v>
      </c>
      <c r="S27" s="17">
        <f t="shared" si="3"/>
        <v>528</v>
      </c>
      <c r="T27" s="18">
        <f t="shared" si="4"/>
        <v>7.574673773</v>
      </c>
      <c r="U27" s="8"/>
      <c r="V27" s="8"/>
      <c r="W27" s="2"/>
      <c r="X27" s="2"/>
      <c r="Y27" s="2"/>
      <c r="Z27" s="2"/>
      <c r="AA27" s="2"/>
      <c r="AB27" s="2"/>
      <c r="AC27" s="2"/>
    </row>
    <row r="28">
      <c r="A28" s="15">
        <v>74.0</v>
      </c>
      <c r="B28" s="15">
        <v>537.0</v>
      </c>
      <c r="C28" s="15">
        <v>46.0</v>
      </c>
      <c r="D28" s="15">
        <v>137.0</v>
      </c>
      <c r="E28" s="15">
        <v>187.0</v>
      </c>
      <c r="F28" s="15">
        <v>439.8047</v>
      </c>
      <c r="G28" s="15"/>
      <c r="H28" s="5"/>
      <c r="I28" s="15">
        <v>74.0</v>
      </c>
      <c r="J28" s="15">
        <v>537.0</v>
      </c>
      <c r="K28" s="15">
        <v>46.0</v>
      </c>
      <c r="L28" s="15">
        <v>137.0</v>
      </c>
      <c r="M28" s="15">
        <v>187.0</v>
      </c>
      <c r="N28" s="15">
        <v>61.85779</v>
      </c>
      <c r="O28" s="2"/>
      <c r="P28" s="16" t="b">
        <f t="shared" ref="P28:R28" si="27">C28=K28</f>
        <v>1</v>
      </c>
      <c r="Q28" s="16" t="b">
        <f t="shared" si="27"/>
        <v>1</v>
      </c>
      <c r="R28" s="16" t="b">
        <f t="shared" si="27"/>
        <v>1</v>
      </c>
      <c r="S28" s="17">
        <f t="shared" si="3"/>
        <v>537</v>
      </c>
      <c r="T28" s="18">
        <f t="shared" si="4"/>
        <v>7.109932314</v>
      </c>
      <c r="U28" s="8"/>
      <c r="V28" s="8"/>
      <c r="W28" s="2"/>
      <c r="X28" s="2"/>
      <c r="Y28" s="2"/>
      <c r="Z28" s="2"/>
      <c r="AA28" s="2"/>
      <c r="AB28" s="2"/>
      <c r="AC28" s="2"/>
    </row>
    <row r="29">
      <c r="A29" s="15">
        <v>75.0</v>
      </c>
      <c r="B29" s="15">
        <v>576.0</v>
      </c>
      <c r="C29" s="15">
        <v>40.0</v>
      </c>
      <c r="D29" s="15">
        <v>35.0</v>
      </c>
      <c r="E29" s="15">
        <v>80.0</v>
      </c>
      <c r="F29" s="15">
        <v>459.4678</v>
      </c>
      <c r="G29" s="15"/>
      <c r="H29" s="5"/>
      <c r="I29" s="15">
        <v>75.0</v>
      </c>
      <c r="J29" s="15">
        <v>576.0</v>
      </c>
      <c r="K29" s="15">
        <v>40.0</v>
      </c>
      <c r="L29" s="15">
        <v>35.0</v>
      </c>
      <c r="M29" s="15">
        <v>80.0</v>
      </c>
      <c r="N29" s="15">
        <v>58.80525</v>
      </c>
      <c r="O29" s="2"/>
      <c r="P29" s="16" t="b">
        <f t="shared" ref="P29:R29" si="28">C29=K29</f>
        <v>1</v>
      </c>
      <c r="Q29" s="16" t="b">
        <f t="shared" si="28"/>
        <v>1</v>
      </c>
      <c r="R29" s="16" t="b">
        <f t="shared" si="28"/>
        <v>1</v>
      </c>
      <c r="S29" s="17">
        <f t="shared" si="3"/>
        <v>576</v>
      </c>
      <c r="T29" s="18">
        <f t="shared" si="4"/>
        <v>7.813380608</v>
      </c>
      <c r="U29" s="8"/>
      <c r="V29" s="8"/>
      <c r="W29" s="2"/>
      <c r="X29" s="2"/>
      <c r="Y29" s="2"/>
      <c r="Z29" s="2"/>
      <c r="AA29" s="2"/>
      <c r="AB29" s="2"/>
      <c r="AC29" s="2"/>
    </row>
    <row r="30">
      <c r="A30" s="15">
        <v>76.0</v>
      </c>
      <c r="B30" s="15">
        <v>223.0</v>
      </c>
      <c r="C30" s="15">
        <v>31.0</v>
      </c>
      <c r="D30" s="15">
        <v>123.0</v>
      </c>
      <c r="E30" s="15">
        <v>154.0</v>
      </c>
      <c r="F30" s="15">
        <v>181.7139</v>
      </c>
      <c r="G30" s="15"/>
      <c r="H30" s="5"/>
      <c r="I30" s="15">
        <v>76.0</v>
      </c>
      <c r="J30" s="15">
        <v>223.0</v>
      </c>
      <c r="K30" s="15">
        <v>31.0</v>
      </c>
      <c r="L30" s="15">
        <v>123.0</v>
      </c>
      <c r="M30" s="15">
        <v>154.0</v>
      </c>
      <c r="N30" s="15">
        <v>33.93024</v>
      </c>
      <c r="O30" s="2"/>
      <c r="P30" s="16" t="b">
        <f t="shared" ref="P30:R30" si="29">C30=K30</f>
        <v>1</v>
      </c>
      <c r="Q30" s="16" t="b">
        <f t="shared" si="29"/>
        <v>1</v>
      </c>
      <c r="R30" s="16" t="b">
        <f t="shared" si="29"/>
        <v>1</v>
      </c>
      <c r="S30" s="17">
        <f t="shared" si="3"/>
        <v>223</v>
      </c>
      <c r="T30" s="18">
        <f t="shared" si="4"/>
        <v>5.355514727</v>
      </c>
      <c r="U30" s="8"/>
      <c r="V30" s="8"/>
      <c r="W30" s="2"/>
      <c r="X30" s="2"/>
      <c r="Y30" s="2"/>
      <c r="Z30" s="2"/>
      <c r="AA30" s="2"/>
      <c r="AB30" s="2"/>
      <c r="AC30" s="2"/>
    </row>
    <row r="31">
      <c r="A31" s="15">
        <v>77.0</v>
      </c>
      <c r="B31" s="15">
        <v>565.0</v>
      </c>
      <c r="C31" s="15">
        <v>36.0</v>
      </c>
      <c r="D31" s="15">
        <v>485.0</v>
      </c>
      <c r="E31" s="15">
        <v>533.0</v>
      </c>
      <c r="F31" s="15">
        <v>459.4733</v>
      </c>
      <c r="G31" s="15"/>
      <c r="H31" s="5"/>
      <c r="I31" s="15">
        <v>77.0</v>
      </c>
      <c r="J31" s="15">
        <v>565.0</v>
      </c>
      <c r="K31" s="15">
        <v>36.0</v>
      </c>
      <c r="L31" s="15">
        <v>485.0</v>
      </c>
      <c r="M31" s="15">
        <v>533.0</v>
      </c>
      <c r="N31" s="15">
        <v>60.42522</v>
      </c>
      <c r="O31" s="2"/>
      <c r="P31" s="16" t="b">
        <f t="shared" ref="P31:R31" si="30">C31=K31</f>
        <v>1</v>
      </c>
      <c r="Q31" s="16" t="b">
        <f t="shared" si="30"/>
        <v>1</v>
      </c>
      <c r="R31" s="16" t="b">
        <f t="shared" si="30"/>
        <v>1</v>
      </c>
      <c r="S31" s="17">
        <f t="shared" si="3"/>
        <v>565</v>
      </c>
      <c r="T31" s="18">
        <f t="shared" si="4"/>
        <v>7.603998794</v>
      </c>
      <c r="U31" s="8"/>
      <c r="V31" s="8"/>
      <c r="W31" s="2"/>
      <c r="X31" s="2"/>
      <c r="Y31" s="2"/>
      <c r="Z31" s="2"/>
      <c r="AA31" s="2"/>
      <c r="AB31" s="2"/>
      <c r="AC31" s="2"/>
    </row>
    <row r="32">
      <c r="A32" s="15">
        <v>78.0</v>
      </c>
      <c r="B32" s="15">
        <v>564.0</v>
      </c>
      <c r="C32" s="15">
        <v>50.0</v>
      </c>
      <c r="D32" s="15">
        <v>147.0</v>
      </c>
      <c r="E32" s="15">
        <v>192.0</v>
      </c>
      <c r="F32" s="15">
        <v>461.0998</v>
      </c>
      <c r="G32" s="15"/>
      <c r="H32" s="5"/>
      <c r="I32" s="15">
        <v>78.0</v>
      </c>
      <c r="J32" s="15">
        <v>564.0</v>
      </c>
      <c r="K32" s="15">
        <v>50.0</v>
      </c>
      <c r="L32" s="15">
        <v>147.0</v>
      </c>
      <c r="M32" s="15">
        <v>192.0</v>
      </c>
      <c r="N32" s="15">
        <v>58.65574</v>
      </c>
      <c r="O32" s="2"/>
      <c r="P32" s="16" t="b">
        <f t="shared" ref="P32:R32" si="31">C32=K32</f>
        <v>1</v>
      </c>
      <c r="Q32" s="16" t="b">
        <f t="shared" si="31"/>
        <v>1</v>
      </c>
      <c r="R32" s="16" t="b">
        <f t="shared" si="31"/>
        <v>1</v>
      </c>
      <c r="S32" s="17">
        <f t="shared" si="3"/>
        <v>564</v>
      </c>
      <c r="T32" s="18">
        <f t="shared" si="4"/>
        <v>7.861119815</v>
      </c>
      <c r="U32" s="8"/>
      <c r="V32" s="8"/>
      <c r="W32" s="2"/>
      <c r="X32" s="2"/>
      <c r="Y32" s="2"/>
      <c r="Z32" s="2"/>
      <c r="AA32" s="2"/>
      <c r="AB32" s="2"/>
      <c r="AC32" s="2"/>
    </row>
    <row r="33">
      <c r="A33" s="15">
        <v>79.0</v>
      </c>
      <c r="B33" s="15">
        <v>575.0</v>
      </c>
      <c r="C33" s="15">
        <v>50.0</v>
      </c>
      <c r="D33" s="15">
        <v>225.0</v>
      </c>
      <c r="E33" s="15">
        <v>269.0</v>
      </c>
      <c r="F33" s="15">
        <v>468.3011</v>
      </c>
      <c r="G33" s="15"/>
      <c r="H33" s="5"/>
      <c r="I33" s="15">
        <v>79.0</v>
      </c>
      <c r="J33" s="15">
        <v>575.0</v>
      </c>
      <c r="K33" s="15">
        <v>50.0</v>
      </c>
      <c r="L33" s="15">
        <v>225.0</v>
      </c>
      <c r="M33" s="15">
        <v>269.0</v>
      </c>
      <c r="N33" s="15">
        <v>59.41965</v>
      </c>
      <c r="O33" s="2"/>
      <c r="P33" s="16" t="b">
        <f t="shared" ref="P33:R33" si="32">C33=K33</f>
        <v>1</v>
      </c>
      <c r="Q33" s="16" t="b">
        <f t="shared" si="32"/>
        <v>1</v>
      </c>
      <c r="R33" s="16" t="b">
        <f t="shared" si="32"/>
        <v>1</v>
      </c>
      <c r="S33" s="17">
        <f t="shared" si="3"/>
        <v>575</v>
      </c>
      <c r="T33" s="18">
        <f t="shared" si="4"/>
        <v>7.881249721</v>
      </c>
      <c r="U33" s="8"/>
      <c r="V33" s="8"/>
      <c r="W33" s="2"/>
      <c r="X33" s="2"/>
      <c r="Y33" s="2"/>
      <c r="Z33" s="2"/>
      <c r="AA33" s="2"/>
      <c r="AB33" s="2"/>
      <c r="AC33" s="2"/>
    </row>
    <row r="34">
      <c r="A34" s="15">
        <v>80.0</v>
      </c>
      <c r="B34" s="15">
        <v>635.0</v>
      </c>
      <c r="C34" s="15">
        <v>47.0</v>
      </c>
      <c r="D34" s="15">
        <v>289.0</v>
      </c>
      <c r="E34" s="15">
        <v>335.0</v>
      </c>
      <c r="F34" s="15">
        <v>511.6377</v>
      </c>
      <c r="G34" s="15"/>
      <c r="H34" s="5"/>
      <c r="I34" s="15">
        <v>80.0</v>
      </c>
      <c r="J34" s="15">
        <v>635.0</v>
      </c>
      <c r="K34" s="15">
        <v>47.0</v>
      </c>
      <c r="L34" s="15">
        <v>289.0</v>
      </c>
      <c r="M34" s="15">
        <v>335.0</v>
      </c>
      <c r="N34" s="15">
        <v>63.86483</v>
      </c>
      <c r="O34" s="2"/>
      <c r="P34" s="16" t="b">
        <f t="shared" ref="P34:R34" si="33">C34=K34</f>
        <v>1</v>
      </c>
      <c r="Q34" s="16" t="b">
        <f t="shared" si="33"/>
        <v>1</v>
      </c>
      <c r="R34" s="16" t="b">
        <f t="shared" si="33"/>
        <v>1</v>
      </c>
      <c r="S34" s="17">
        <f t="shared" si="3"/>
        <v>635</v>
      </c>
      <c r="T34" s="18">
        <f t="shared" si="4"/>
        <v>8.011259092</v>
      </c>
      <c r="U34" s="8"/>
      <c r="V34" s="8"/>
      <c r="W34" s="2"/>
      <c r="X34" s="2"/>
      <c r="Y34" s="2"/>
      <c r="Z34" s="2"/>
      <c r="AA34" s="2"/>
      <c r="AB34" s="2"/>
      <c r="AC34" s="2"/>
    </row>
    <row r="35">
      <c r="A35" s="15">
        <v>81.0</v>
      </c>
      <c r="B35" s="15">
        <v>2093.0</v>
      </c>
      <c r="C35" s="15">
        <v>63.0</v>
      </c>
      <c r="D35" s="15">
        <v>2035.0</v>
      </c>
      <c r="E35" s="15">
        <v>2087.0</v>
      </c>
      <c r="F35" s="15">
        <v>1717.852</v>
      </c>
      <c r="G35" s="15"/>
      <c r="H35" s="5"/>
      <c r="I35" s="15">
        <v>81.0</v>
      </c>
      <c r="J35" s="15">
        <v>2093.0</v>
      </c>
      <c r="K35" s="15">
        <v>63.0</v>
      </c>
      <c r="L35" s="15">
        <v>2035.0</v>
      </c>
      <c r="M35" s="15">
        <v>2087.0</v>
      </c>
      <c r="N35" s="15">
        <v>158.9842</v>
      </c>
      <c r="O35" s="2"/>
      <c r="P35" s="16" t="b">
        <f t="shared" ref="P35:R35" si="34">C35=K35</f>
        <v>1</v>
      </c>
      <c r="Q35" s="16" t="b">
        <f t="shared" si="34"/>
        <v>1</v>
      </c>
      <c r="R35" s="16" t="b">
        <f t="shared" si="34"/>
        <v>1</v>
      </c>
      <c r="S35" s="17">
        <f t="shared" si="3"/>
        <v>2093</v>
      </c>
      <c r="T35" s="18">
        <f t="shared" si="4"/>
        <v>10.80517435</v>
      </c>
      <c r="U35" s="8"/>
      <c r="V35" s="8"/>
      <c r="W35" s="2"/>
      <c r="X35" s="2"/>
      <c r="Y35" s="2"/>
      <c r="Z35" s="2"/>
      <c r="AA35" s="2"/>
      <c r="AB35" s="2"/>
      <c r="AC35" s="2"/>
    </row>
    <row r="36">
      <c r="A36" s="15">
        <v>82.0</v>
      </c>
      <c r="B36" s="15">
        <v>473.0</v>
      </c>
      <c r="C36" s="15">
        <v>60.0</v>
      </c>
      <c r="D36" s="15">
        <v>223.0</v>
      </c>
      <c r="E36" s="15">
        <v>263.0</v>
      </c>
      <c r="F36" s="15">
        <v>420.014</v>
      </c>
      <c r="G36" s="15"/>
      <c r="H36" s="5"/>
      <c r="I36" s="15">
        <v>82.0</v>
      </c>
      <c r="J36" s="15">
        <v>473.0</v>
      </c>
      <c r="K36" s="15">
        <v>60.0</v>
      </c>
      <c r="L36" s="15">
        <v>223.0</v>
      </c>
      <c r="M36" s="15">
        <v>263.0</v>
      </c>
      <c r="N36" s="15">
        <v>48.65229</v>
      </c>
      <c r="O36" s="2"/>
      <c r="P36" s="16" t="b">
        <f t="shared" ref="P36:R36" si="35">C36=K36</f>
        <v>1</v>
      </c>
      <c r="Q36" s="16" t="b">
        <f t="shared" si="35"/>
        <v>1</v>
      </c>
      <c r="R36" s="16" t="b">
        <f t="shared" si="35"/>
        <v>1</v>
      </c>
      <c r="S36" s="17">
        <f t="shared" si="3"/>
        <v>473</v>
      </c>
      <c r="T36" s="18">
        <f t="shared" si="4"/>
        <v>8.632974933</v>
      </c>
      <c r="U36" s="8"/>
      <c r="V36" s="8"/>
      <c r="W36" s="2"/>
      <c r="X36" s="2"/>
      <c r="Y36" s="2"/>
      <c r="Z36" s="2"/>
      <c r="AA36" s="2"/>
      <c r="AB36" s="2"/>
      <c r="AC36" s="2"/>
    </row>
    <row r="37">
      <c r="A37" s="15">
        <v>83.0</v>
      </c>
      <c r="B37" s="15">
        <v>479.0</v>
      </c>
      <c r="C37" s="15">
        <v>49.0</v>
      </c>
      <c r="D37" s="15">
        <v>59.0</v>
      </c>
      <c r="E37" s="15">
        <v>106.0</v>
      </c>
      <c r="F37" s="15">
        <v>427.9665</v>
      </c>
      <c r="G37" s="15"/>
      <c r="H37" s="5"/>
      <c r="I37" s="15">
        <v>83.0</v>
      </c>
      <c r="J37" s="15">
        <v>479.0</v>
      </c>
      <c r="K37" s="15">
        <v>49.0</v>
      </c>
      <c r="L37" s="15">
        <v>59.0</v>
      </c>
      <c r="M37" s="15">
        <v>106.0</v>
      </c>
      <c r="N37" s="15">
        <v>50.90509</v>
      </c>
      <c r="O37" s="2"/>
      <c r="P37" s="16" t="b">
        <f t="shared" ref="P37:R37" si="36">C37=K37</f>
        <v>1</v>
      </c>
      <c r="Q37" s="16" t="b">
        <f t="shared" si="36"/>
        <v>1</v>
      </c>
      <c r="R37" s="16" t="b">
        <f t="shared" si="36"/>
        <v>1</v>
      </c>
      <c r="S37" s="17">
        <f t="shared" si="3"/>
        <v>479</v>
      </c>
      <c r="T37" s="18">
        <f t="shared" si="4"/>
        <v>8.407145533</v>
      </c>
      <c r="U37" s="8"/>
      <c r="V37" s="8"/>
      <c r="W37" s="2"/>
      <c r="X37" s="2"/>
      <c r="Y37" s="2"/>
      <c r="Z37" s="2"/>
      <c r="AA37" s="2"/>
      <c r="AB37" s="2"/>
      <c r="AC37" s="2"/>
    </row>
    <row r="38">
      <c r="A38" s="15">
        <v>84.0</v>
      </c>
      <c r="B38" s="15">
        <v>1846.0</v>
      </c>
      <c r="C38" s="15">
        <v>52.0</v>
      </c>
      <c r="D38" s="15">
        <v>366.0</v>
      </c>
      <c r="E38" s="15">
        <v>419.0</v>
      </c>
      <c r="F38" s="15">
        <v>1657.777</v>
      </c>
      <c r="G38" s="15"/>
      <c r="H38" s="5"/>
      <c r="I38" s="15">
        <v>84.0</v>
      </c>
      <c r="J38" s="15">
        <v>1846.0</v>
      </c>
      <c r="K38" s="15">
        <v>52.0</v>
      </c>
      <c r="L38" s="15">
        <v>366.0</v>
      </c>
      <c r="M38" s="15">
        <v>419.0</v>
      </c>
      <c r="N38" s="15">
        <v>120.8996</v>
      </c>
      <c r="O38" s="2"/>
      <c r="P38" s="16" t="b">
        <f t="shared" ref="P38:R38" si="37">C38=K38</f>
        <v>1</v>
      </c>
      <c r="Q38" s="16" t="b">
        <f t="shared" si="37"/>
        <v>1</v>
      </c>
      <c r="R38" s="16" t="b">
        <f t="shared" si="37"/>
        <v>1</v>
      </c>
      <c r="S38" s="17">
        <f t="shared" si="3"/>
        <v>1846</v>
      </c>
      <c r="T38" s="18">
        <f t="shared" si="4"/>
        <v>13.71201394</v>
      </c>
      <c r="U38" s="8"/>
      <c r="V38" s="8"/>
      <c r="W38" s="2"/>
      <c r="X38" s="2"/>
      <c r="Y38" s="2"/>
      <c r="Z38" s="2"/>
      <c r="AA38" s="2"/>
      <c r="AB38" s="2"/>
      <c r="AC38" s="2"/>
    </row>
    <row r="39">
      <c r="A39" s="15">
        <v>85.0</v>
      </c>
      <c r="B39" s="15">
        <v>498.0</v>
      </c>
      <c r="C39" s="15">
        <v>265.0</v>
      </c>
      <c r="D39" s="15">
        <v>354.0</v>
      </c>
      <c r="E39" s="15">
        <v>402.0</v>
      </c>
      <c r="F39" s="15">
        <v>444.8191</v>
      </c>
      <c r="G39" s="15"/>
      <c r="H39" s="5"/>
      <c r="I39" s="15">
        <v>85.0</v>
      </c>
      <c r="J39" s="15">
        <v>498.0</v>
      </c>
      <c r="K39" s="15">
        <v>265.0</v>
      </c>
      <c r="L39" s="15">
        <v>354.0</v>
      </c>
      <c r="M39" s="15">
        <v>402.0</v>
      </c>
      <c r="N39" s="15">
        <v>51.39763</v>
      </c>
      <c r="O39" s="2"/>
      <c r="P39" s="16" t="b">
        <f t="shared" ref="P39:R39" si="38">C39=K39</f>
        <v>1</v>
      </c>
      <c r="Q39" s="16" t="b">
        <f t="shared" si="38"/>
        <v>1</v>
      </c>
      <c r="R39" s="16" t="b">
        <f t="shared" si="38"/>
        <v>1</v>
      </c>
      <c r="S39" s="17">
        <f t="shared" si="3"/>
        <v>498</v>
      </c>
      <c r="T39" s="18">
        <f t="shared" si="4"/>
        <v>8.654467142</v>
      </c>
      <c r="U39" s="8"/>
      <c r="V39" s="8"/>
      <c r="W39" s="2"/>
      <c r="X39" s="2"/>
      <c r="Y39" s="2"/>
      <c r="Z39" s="2"/>
      <c r="AA39" s="2"/>
      <c r="AB39" s="2"/>
      <c r="AC39" s="2"/>
    </row>
    <row r="40">
      <c r="A40" s="15">
        <v>86.0</v>
      </c>
      <c r="B40" s="15">
        <v>178.0</v>
      </c>
      <c r="C40" s="15">
        <v>34.0</v>
      </c>
      <c r="D40" s="15">
        <v>135.0</v>
      </c>
      <c r="E40" s="15">
        <v>177.0</v>
      </c>
      <c r="F40" s="15">
        <v>159.897</v>
      </c>
      <c r="G40" s="15"/>
      <c r="H40" s="5"/>
      <c r="I40" s="15">
        <v>86.0</v>
      </c>
      <c r="J40" s="15">
        <v>178.0</v>
      </c>
      <c r="K40" s="15">
        <v>34.0</v>
      </c>
      <c r="L40" s="15">
        <v>135.0</v>
      </c>
      <c r="M40" s="15">
        <v>177.0</v>
      </c>
      <c r="N40" s="15">
        <v>32.0297</v>
      </c>
      <c r="O40" s="2"/>
      <c r="P40" s="16" t="b">
        <f t="shared" ref="P40:R40" si="39">C40=K40</f>
        <v>1</v>
      </c>
      <c r="Q40" s="16" t="b">
        <f t="shared" si="39"/>
        <v>1</v>
      </c>
      <c r="R40" s="16" t="b">
        <f t="shared" si="39"/>
        <v>1</v>
      </c>
      <c r="S40" s="17">
        <f t="shared" si="3"/>
        <v>178</v>
      </c>
      <c r="T40" s="18">
        <f t="shared" si="4"/>
        <v>4.992147913</v>
      </c>
      <c r="U40" s="8"/>
      <c r="V40" s="8"/>
      <c r="W40" s="2"/>
      <c r="X40" s="2"/>
      <c r="Y40" s="2"/>
      <c r="Z40" s="2"/>
      <c r="AA40" s="2"/>
      <c r="AB40" s="2"/>
      <c r="AC40" s="2"/>
    </row>
    <row r="41">
      <c r="A41" s="15">
        <v>87.0</v>
      </c>
      <c r="B41" s="15">
        <v>90.0</v>
      </c>
      <c r="C41" s="15">
        <v>38.0</v>
      </c>
      <c r="D41" s="15">
        <v>43.0</v>
      </c>
      <c r="E41" s="15">
        <v>79.0</v>
      </c>
      <c r="F41" s="15">
        <v>81.3705</v>
      </c>
      <c r="G41" s="15"/>
      <c r="H41" s="5"/>
      <c r="I41" s="15">
        <v>87.0</v>
      </c>
      <c r="J41" s="15">
        <v>90.0</v>
      </c>
      <c r="K41" s="15">
        <v>38.0</v>
      </c>
      <c r="L41" s="15">
        <v>43.0</v>
      </c>
      <c r="M41" s="15">
        <v>79.0</v>
      </c>
      <c r="N41" s="15">
        <v>27.37357</v>
      </c>
      <c r="O41" s="2"/>
      <c r="P41" s="16" t="b">
        <f t="shared" ref="P41:R41" si="40">C41=K41</f>
        <v>1</v>
      </c>
      <c r="Q41" s="16" t="b">
        <f t="shared" si="40"/>
        <v>1</v>
      </c>
      <c r="R41" s="16" t="b">
        <f t="shared" si="40"/>
        <v>1</v>
      </c>
      <c r="S41" s="17">
        <f t="shared" si="3"/>
        <v>90</v>
      </c>
      <c r="T41" s="18">
        <f t="shared" si="4"/>
        <v>2.972593637</v>
      </c>
      <c r="U41" s="8"/>
      <c r="V41" s="8"/>
      <c r="W41" s="2"/>
      <c r="X41" s="2"/>
      <c r="Y41" s="2"/>
      <c r="Z41" s="2"/>
      <c r="AA41" s="2"/>
      <c r="AB41" s="2"/>
      <c r="AC41" s="2"/>
    </row>
    <row r="42">
      <c r="A42" s="15">
        <v>88.0</v>
      </c>
      <c r="B42" s="15">
        <v>76.0</v>
      </c>
      <c r="C42" s="15">
        <v>47.0</v>
      </c>
      <c r="D42" s="15">
        <v>20.0</v>
      </c>
      <c r="E42" s="15">
        <v>61.0</v>
      </c>
      <c r="F42" s="15">
        <v>69.0247</v>
      </c>
      <c r="G42" s="15"/>
      <c r="H42" s="5"/>
      <c r="I42" s="15">
        <v>88.0</v>
      </c>
      <c r="J42" s="15">
        <v>76.0</v>
      </c>
      <c r="K42" s="15">
        <v>47.0</v>
      </c>
      <c r="L42" s="15">
        <v>20.0</v>
      </c>
      <c r="M42" s="15">
        <v>61.0</v>
      </c>
      <c r="N42" s="15">
        <v>28.12928</v>
      </c>
      <c r="O42" s="2"/>
      <c r="P42" s="16" t="b">
        <f t="shared" ref="P42:R42" si="41">C42=K42</f>
        <v>1</v>
      </c>
      <c r="Q42" s="16" t="b">
        <f t="shared" si="41"/>
        <v>1</v>
      </c>
      <c r="R42" s="16" t="b">
        <f t="shared" si="41"/>
        <v>1</v>
      </c>
      <c r="S42" s="17">
        <f t="shared" si="3"/>
        <v>76</v>
      </c>
      <c r="T42" s="18">
        <f t="shared" si="4"/>
        <v>2.453838136</v>
      </c>
      <c r="U42" s="8"/>
      <c r="V42" s="8"/>
      <c r="W42" s="2"/>
      <c r="X42" s="2"/>
      <c r="Y42" s="2"/>
      <c r="Z42" s="2"/>
      <c r="AA42" s="2"/>
      <c r="AB42" s="2"/>
      <c r="AC42" s="2"/>
    </row>
    <row r="43">
      <c r="A43" s="15">
        <v>89.0</v>
      </c>
      <c r="B43" s="15">
        <v>345.0</v>
      </c>
      <c r="C43" s="15">
        <v>34.0</v>
      </c>
      <c r="D43" s="15">
        <v>176.0</v>
      </c>
      <c r="E43" s="15">
        <v>214.0</v>
      </c>
      <c r="F43" s="15">
        <v>307.1812</v>
      </c>
      <c r="G43" s="15"/>
      <c r="H43" s="5"/>
      <c r="I43" s="15">
        <v>89.0</v>
      </c>
      <c r="J43" s="15">
        <v>345.0</v>
      </c>
      <c r="K43" s="15">
        <v>34.0</v>
      </c>
      <c r="L43" s="15">
        <v>176.0</v>
      </c>
      <c r="M43" s="15">
        <v>214.0</v>
      </c>
      <c r="N43" s="15">
        <v>40.5801</v>
      </c>
      <c r="O43" s="2"/>
      <c r="P43" s="16" t="b">
        <f t="shared" ref="P43:R43" si="42">C43=K43</f>
        <v>1</v>
      </c>
      <c r="Q43" s="16" t="b">
        <f t="shared" si="42"/>
        <v>1</v>
      </c>
      <c r="R43" s="16" t="b">
        <f t="shared" si="42"/>
        <v>1</v>
      </c>
      <c r="S43" s="17">
        <f t="shared" si="3"/>
        <v>345</v>
      </c>
      <c r="T43" s="18">
        <f t="shared" si="4"/>
        <v>7.569749705</v>
      </c>
      <c r="U43" s="8"/>
      <c r="V43" s="8"/>
      <c r="W43" s="2"/>
      <c r="X43" s="2"/>
      <c r="Y43" s="2"/>
      <c r="Z43" s="2"/>
      <c r="AA43" s="2"/>
      <c r="AB43" s="2"/>
      <c r="AC43" s="2"/>
    </row>
    <row r="44">
      <c r="A44" s="15">
        <v>90.0</v>
      </c>
      <c r="B44" s="15">
        <v>541.0</v>
      </c>
      <c r="C44" s="15">
        <v>53.0</v>
      </c>
      <c r="D44" s="15">
        <v>18.0</v>
      </c>
      <c r="E44" s="15">
        <v>64.0</v>
      </c>
      <c r="F44" s="15">
        <v>481.0597</v>
      </c>
      <c r="G44" s="15"/>
      <c r="H44" s="5"/>
      <c r="I44" s="15">
        <v>90.0</v>
      </c>
      <c r="J44" s="15">
        <v>541.0</v>
      </c>
      <c r="K44" s="15">
        <v>53.0</v>
      </c>
      <c r="L44" s="15">
        <v>18.0</v>
      </c>
      <c r="M44" s="15">
        <v>64.0</v>
      </c>
      <c r="N44" s="15">
        <v>51.95059</v>
      </c>
      <c r="O44" s="2"/>
      <c r="P44" s="16" t="b">
        <f t="shared" ref="P44:R44" si="43">C44=K44</f>
        <v>1</v>
      </c>
      <c r="Q44" s="16" t="b">
        <f t="shared" si="43"/>
        <v>1</v>
      </c>
      <c r="R44" s="16" t="b">
        <f t="shared" si="43"/>
        <v>1</v>
      </c>
      <c r="S44" s="17">
        <f t="shared" si="3"/>
        <v>541</v>
      </c>
      <c r="T44" s="18">
        <f t="shared" si="4"/>
        <v>9.259946807</v>
      </c>
      <c r="U44" s="8"/>
      <c r="V44" s="8"/>
      <c r="W44" s="2"/>
      <c r="X44" s="2"/>
      <c r="Y44" s="2"/>
      <c r="Z44" s="2"/>
      <c r="AA44" s="2"/>
      <c r="AB44" s="2"/>
      <c r="AC44" s="2"/>
    </row>
    <row r="45">
      <c r="A45" s="15">
        <v>91.0</v>
      </c>
      <c r="B45" s="15">
        <v>684.0</v>
      </c>
      <c r="C45" s="15">
        <v>46.0</v>
      </c>
      <c r="D45" s="15">
        <v>560.0</v>
      </c>
      <c r="E45" s="15">
        <v>611.0</v>
      </c>
      <c r="F45" s="15">
        <v>608.4573</v>
      </c>
      <c r="G45" s="15"/>
      <c r="H45" s="5"/>
      <c r="I45" s="15">
        <v>91.0</v>
      </c>
      <c r="J45" s="15">
        <v>684.0</v>
      </c>
      <c r="K45" s="15">
        <v>46.0</v>
      </c>
      <c r="L45" s="15">
        <v>560.0</v>
      </c>
      <c r="M45" s="15">
        <v>611.0</v>
      </c>
      <c r="N45" s="15">
        <v>61.32224</v>
      </c>
      <c r="O45" s="2"/>
      <c r="P45" s="16" t="b">
        <f t="shared" ref="P45:R45" si="44">C45=K45</f>
        <v>1</v>
      </c>
      <c r="Q45" s="16" t="b">
        <f t="shared" si="44"/>
        <v>1</v>
      </c>
      <c r="R45" s="16" t="b">
        <f t="shared" si="44"/>
        <v>1</v>
      </c>
      <c r="S45" s="17">
        <f t="shared" si="3"/>
        <v>684</v>
      </c>
      <c r="T45" s="18">
        <f t="shared" si="4"/>
        <v>9.922294098</v>
      </c>
      <c r="U45" s="8"/>
      <c r="V45" s="8"/>
      <c r="W45" s="2"/>
      <c r="X45" s="2"/>
      <c r="Y45" s="2"/>
      <c r="Z45" s="2"/>
      <c r="AA45" s="2"/>
      <c r="AB45" s="2"/>
      <c r="AC45" s="2"/>
    </row>
    <row r="46">
      <c r="A46" s="15">
        <v>92.0</v>
      </c>
      <c r="B46" s="15">
        <v>876.0</v>
      </c>
      <c r="C46" s="15">
        <v>42.0</v>
      </c>
      <c r="D46" s="15">
        <v>194.0</v>
      </c>
      <c r="E46" s="15">
        <v>220.0</v>
      </c>
      <c r="F46" s="15">
        <v>793.3748</v>
      </c>
      <c r="G46" s="15"/>
      <c r="H46" s="5"/>
      <c r="I46" s="15">
        <v>92.0</v>
      </c>
      <c r="J46" s="15">
        <v>876.0</v>
      </c>
      <c r="K46" s="15">
        <v>42.0</v>
      </c>
      <c r="L46" s="15">
        <v>194.0</v>
      </c>
      <c r="M46" s="15">
        <v>220.0</v>
      </c>
      <c r="N46" s="15">
        <v>63.11424</v>
      </c>
      <c r="O46" s="2"/>
      <c r="P46" s="16" t="b">
        <f t="shared" ref="P46:R46" si="45">C46=K46</f>
        <v>1</v>
      </c>
      <c r="Q46" s="16" t="b">
        <f t="shared" si="45"/>
        <v>1</v>
      </c>
      <c r="R46" s="16" t="b">
        <f t="shared" si="45"/>
        <v>1</v>
      </c>
      <c r="S46" s="17">
        <f t="shared" si="3"/>
        <v>876</v>
      </c>
      <c r="T46" s="18">
        <f t="shared" si="4"/>
        <v>12.57045637</v>
      </c>
      <c r="U46" s="8"/>
      <c r="V46" s="8"/>
      <c r="W46" s="2"/>
      <c r="X46" s="2"/>
      <c r="Y46" s="2"/>
      <c r="Z46" s="2"/>
      <c r="AA46" s="2"/>
      <c r="AB46" s="2"/>
      <c r="AC46" s="2"/>
    </row>
    <row r="47">
      <c r="A47" s="15">
        <v>93.0</v>
      </c>
      <c r="B47" s="15">
        <v>97.0</v>
      </c>
      <c r="C47" s="15">
        <v>41.0</v>
      </c>
      <c r="D47" s="15">
        <v>22.0</v>
      </c>
      <c r="E47" s="15">
        <v>60.0</v>
      </c>
      <c r="F47" s="15">
        <v>86.3041</v>
      </c>
      <c r="G47" s="15"/>
      <c r="H47" s="5"/>
      <c r="I47" s="15">
        <v>93.0</v>
      </c>
      <c r="J47" s="15">
        <v>97.0</v>
      </c>
      <c r="K47" s="15">
        <v>41.0</v>
      </c>
      <c r="L47" s="15">
        <v>22.0</v>
      </c>
      <c r="M47" s="15">
        <v>60.0</v>
      </c>
      <c r="N47" s="15">
        <v>28.50407</v>
      </c>
      <c r="O47" s="2"/>
      <c r="P47" s="16" t="b">
        <f t="shared" ref="P47:R47" si="46">C47=K47</f>
        <v>1</v>
      </c>
      <c r="Q47" s="16" t="b">
        <f t="shared" si="46"/>
        <v>1</v>
      </c>
      <c r="R47" s="16" t="b">
        <f t="shared" si="46"/>
        <v>1</v>
      </c>
      <c r="S47" s="17">
        <f t="shared" si="3"/>
        <v>97</v>
      </c>
      <c r="T47" s="18">
        <f t="shared" si="4"/>
        <v>3.027781647</v>
      </c>
      <c r="U47" s="8"/>
      <c r="V47" s="8"/>
      <c r="W47" s="2"/>
      <c r="X47" s="2"/>
      <c r="Y47" s="2"/>
      <c r="Z47" s="2"/>
      <c r="AA47" s="2"/>
      <c r="AB47" s="2"/>
      <c r="AC47" s="2"/>
    </row>
    <row r="48">
      <c r="A48" s="15">
        <v>94.0</v>
      </c>
      <c r="B48" s="15">
        <v>126.0</v>
      </c>
      <c r="C48" s="15">
        <v>29.0</v>
      </c>
      <c r="D48" s="15">
        <v>3.0</v>
      </c>
      <c r="E48" s="15">
        <v>29.0</v>
      </c>
      <c r="F48" s="15">
        <v>112.545</v>
      </c>
      <c r="G48" s="15"/>
      <c r="H48" s="5"/>
      <c r="I48" s="15">
        <v>94.0</v>
      </c>
      <c r="J48" s="15">
        <v>126.0</v>
      </c>
      <c r="K48" s="15">
        <v>29.0</v>
      </c>
      <c r="L48" s="15">
        <v>3.0</v>
      </c>
      <c r="M48" s="15">
        <v>29.0</v>
      </c>
      <c r="N48" s="15">
        <v>26.97421</v>
      </c>
      <c r="O48" s="2"/>
      <c r="P48" s="16" t="b">
        <f t="shared" ref="P48:R48" si="47">C48=K48</f>
        <v>1</v>
      </c>
      <c r="Q48" s="16" t="b">
        <f t="shared" si="47"/>
        <v>1</v>
      </c>
      <c r="R48" s="16" t="b">
        <f t="shared" si="47"/>
        <v>1</v>
      </c>
      <c r="S48" s="17">
        <f t="shared" si="3"/>
        <v>126</v>
      </c>
      <c r="T48" s="18">
        <f t="shared" si="4"/>
        <v>4.17231867</v>
      </c>
      <c r="U48" s="8"/>
      <c r="V48" s="8"/>
      <c r="W48" s="2"/>
      <c r="X48" s="2"/>
      <c r="Y48" s="2"/>
      <c r="Z48" s="2"/>
      <c r="AA48" s="2"/>
      <c r="AB48" s="2"/>
      <c r="AC48" s="2"/>
    </row>
    <row r="49">
      <c r="A49" s="15">
        <v>95.0</v>
      </c>
      <c r="B49" s="15">
        <v>595.0</v>
      </c>
      <c r="C49" s="15">
        <v>33.0</v>
      </c>
      <c r="D49" s="15">
        <v>374.0</v>
      </c>
      <c r="E49" s="15">
        <v>412.0</v>
      </c>
      <c r="F49" s="15">
        <v>542.1625</v>
      </c>
      <c r="G49" s="15"/>
      <c r="H49" s="5"/>
      <c r="I49" s="15">
        <v>95.0</v>
      </c>
      <c r="J49" s="15">
        <v>595.0</v>
      </c>
      <c r="K49" s="15">
        <v>33.0</v>
      </c>
      <c r="L49" s="15">
        <v>374.0</v>
      </c>
      <c r="M49" s="15">
        <v>412.0</v>
      </c>
      <c r="N49" s="15">
        <v>53.87162</v>
      </c>
      <c r="O49" s="2"/>
      <c r="P49" s="16" t="b">
        <f t="shared" ref="P49:R49" si="48">C49=K49</f>
        <v>1</v>
      </c>
      <c r="Q49" s="16" t="b">
        <f t="shared" si="48"/>
        <v>1</v>
      </c>
      <c r="R49" s="16" t="b">
        <f t="shared" si="48"/>
        <v>1</v>
      </c>
      <c r="S49" s="17">
        <f t="shared" si="3"/>
        <v>595</v>
      </c>
      <c r="T49" s="18">
        <f t="shared" si="4"/>
        <v>10.06397246</v>
      </c>
      <c r="U49" s="8"/>
      <c r="V49" s="8"/>
      <c r="W49" s="2"/>
      <c r="X49" s="2"/>
      <c r="Y49" s="2"/>
      <c r="Z49" s="2"/>
      <c r="AA49" s="2"/>
      <c r="AB49" s="2"/>
      <c r="AC49" s="2"/>
    </row>
    <row r="50">
      <c r="A50" s="15">
        <v>96.0</v>
      </c>
      <c r="B50" s="15">
        <v>107.0</v>
      </c>
      <c r="C50" s="15">
        <v>29.0</v>
      </c>
      <c r="D50" s="15">
        <v>79.0</v>
      </c>
      <c r="E50" s="15">
        <v>91.0</v>
      </c>
      <c r="F50" s="15">
        <v>95.9137</v>
      </c>
      <c r="G50" s="15"/>
      <c r="H50" s="5"/>
      <c r="I50" s="15">
        <v>96.0</v>
      </c>
      <c r="J50" s="15">
        <v>107.0</v>
      </c>
      <c r="K50" s="15">
        <v>29.0</v>
      </c>
      <c r="L50" s="15">
        <v>79.0</v>
      </c>
      <c r="M50" s="15">
        <v>91.0</v>
      </c>
      <c r="N50" s="15">
        <v>22.30477</v>
      </c>
      <c r="O50" s="2"/>
      <c r="P50" s="16" t="b">
        <f t="shared" ref="P50:R50" si="49">C50=K50</f>
        <v>1</v>
      </c>
      <c r="Q50" s="16" t="b">
        <f t="shared" si="49"/>
        <v>1</v>
      </c>
      <c r="R50" s="16" t="b">
        <f t="shared" si="49"/>
        <v>1</v>
      </c>
      <c r="S50" s="17">
        <f t="shared" si="3"/>
        <v>107</v>
      </c>
      <c r="T50" s="18">
        <f t="shared" si="4"/>
        <v>4.300142974</v>
      </c>
      <c r="U50" s="8"/>
      <c r="V50" s="8"/>
      <c r="W50" s="2"/>
      <c r="X50" s="2"/>
      <c r="Y50" s="2"/>
      <c r="Z50" s="2"/>
      <c r="AA50" s="2"/>
      <c r="AB50" s="2"/>
      <c r="AC50" s="2"/>
    </row>
    <row r="51">
      <c r="A51" s="15">
        <v>97.0</v>
      </c>
      <c r="B51" s="15">
        <v>90.0</v>
      </c>
      <c r="C51" s="15">
        <v>25.0</v>
      </c>
      <c r="D51" s="15">
        <v>21.0</v>
      </c>
      <c r="E51" s="15">
        <v>70.0</v>
      </c>
      <c r="F51" s="15">
        <v>80.2073</v>
      </c>
      <c r="G51" s="15"/>
      <c r="H51" s="5"/>
      <c r="I51" s="15">
        <v>97.0</v>
      </c>
      <c r="J51" s="15">
        <v>90.0</v>
      </c>
      <c r="K51" s="15">
        <v>25.0</v>
      </c>
      <c r="L51" s="15">
        <v>21.0</v>
      </c>
      <c r="M51" s="15">
        <v>70.0</v>
      </c>
      <c r="N51" s="15">
        <v>30.07591</v>
      </c>
      <c r="O51" s="2"/>
      <c r="P51" s="16" t="b">
        <f t="shared" ref="P51:R51" si="50">C51=K51</f>
        <v>1</v>
      </c>
      <c r="Q51" s="16" t="b">
        <f t="shared" si="50"/>
        <v>1</v>
      </c>
      <c r="R51" s="16" t="b">
        <f t="shared" si="50"/>
        <v>1</v>
      </c>
      <c r="S51" s="17">
        <f t="shared" si="3"/>
        <v>90</v>
      </c>
      <c r="T51" s="18">
        <f t="shared" si="4"/>
        <v>2.666828701</v>
      </c>
      <c r="U51" s="8"/>
      <c r="V51" s="8"/>
      <c r="W51" s="2"/>
      <c r="X51" s="2"/>
      <c r="Y51" s="2"/>
      <c r="Z51" s="2"/>
      <c r="AA51" s="2"/>
      <c r="AB51" s="2"/>
      <c r="AC51" s="2"/>
    </row>
    <row r="52">
      <c r="A52" s="15">
        <v>98.0</v>
      </c>
      <c r="B52" s="15">
        <v>352.0</v>
      </c>
      <c r="C52" s="15">
        <v>34.0</v>
      </c>
      <c r="D52" s="15">
        <v>301.0</v>
      </c>
      <c r="E52" s="15">
        <v>346.0</v>
      </c>
      <c r="F52" s="15">
        <v>310.5144</v>
      </c>
      <c r="G52" s="15"/>
      <c r="H52" s="5"/>
      <c r="I52" s="15">
        <v>98.0</v>
      </c>
      <c r="J52" s="15">
        <v>352.0</v>
      </c>
      <c r="K52" s="15">
        <v>34.0</v>
      </c>
      <c r="L52" s="15">
        <v>301.0</v>
      </c>
      <c r="M52" s="15">
        <v>346.0</v>
      </c>
      <c r="N52" s="15">
        <v>42.70694</v>
      </c>
      <c r="O52" s="2"/>
      <c r="P52" s="16" t="b">
        <f t="shared" ref="P52:R52" si="51">C52=K52</f>
        <v>1</v>
      </c>
      <c r="Q52" s="16" t="b">
        <f t="shared" si="51"/>
        <v>1</v>
      </c>
      <c r="R52" s="16" t="b">
        <f t="shared" si="51"/>
        <v>1</v>
      </c>
      <c r="S52" s="17">
        <f t="shared" si="3"/>
        <v>352</v>
      </c>
      <c r="T52" s="18">
        <f t="shared" si="4"/>
        <v>7.270818279</v>
      </c>
      <c r="U52" s="8"/>
      <c r="V52" s="8"/>
      <c r="W52" s="2"/>
      <c r="X52" s="2"/>
      <c r="Y52" s="2"/>
      <c r="Z52" s="2"/>
      <c r="AA52" s="2"/>
      <c r="AB52" s="2"/>
      <c r="AC52" s="2"/>
    </row>
    <row r="53">
      <c r="A53" s="15">
        <v>99.0</v>
      </c>
      <c r="B53" s="15">
        <v>89.0</v>
      </c>
      <c r="C53" s="15">
        <v>30.0</v>
      </c>
      <c r="D53" s="15">
        <v>21.0</v>
      </c>
      <c r="E53" s="15">
        <v>60.0</v>
      </c>
      <c r="F53" s="15">
        <v>80.5844</v>
      </c>
      <c r="G53" s="15"/>
      <c r="H53" s="5"/>
      <c r="I53" s="15">
        <v>99.0</v>
      </c>
      <c r="J53" s="15">
        <v>89.0</v>
      </c>
      <c r="K53" s="15">
        <v>30.0</v>
      </c>
      <c r="L53" s="15">
        <v>21.0</v>
      </c>
      <c r="M53" s="15">
        <v>60.0</v>
      </c>
      <c r="N53" s="15">
        <v>28.29107</v>
      </c>
      <c r="O53" s="2"/>
      <c r="P53" s="16" t="b">
        <f t="shared" ref="P53:R53" si="52">C53=K53</f>
        <v>1</v>
      </c>
      <c r="Q53" s="16" t="b">
        <f t="shared" si="52"/>
        <v>1</v>
      </c>
      <c r="R53" s="16" t="b">
        <f t="shared" si="52"/>
        <v>1</v>
      </c>
      <c r="S53" s="17">
        <f t="shared" si="3"/>
        <v>89</v>
      </c>
      <c r="T53" s="18">
        <f t="shared" si="4"/>
        <v>2.848404108</v>
      </c>
      <c r="U53" s="8"/>
      <c r="V53" s="8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5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5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5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5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5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5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5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5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5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5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5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5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5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5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5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5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5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5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5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5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5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5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5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5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5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5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5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5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5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5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5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5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5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5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5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5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5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5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5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5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5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5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5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5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5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5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5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5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5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5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5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5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5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5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5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5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5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5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5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5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5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5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5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5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5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5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5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5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5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5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5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5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5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5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5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5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5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5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5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5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5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5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5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5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5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5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5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5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5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5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5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5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5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5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5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5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5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5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5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5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5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5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5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5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5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5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5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5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5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5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5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5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5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5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5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5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5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5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5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5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5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5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5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5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5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5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5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5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5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5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5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5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5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5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5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5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5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5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5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5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5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5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5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5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5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5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5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5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5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5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5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5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5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5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5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5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5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5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5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5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5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5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5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5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5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5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5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5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5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5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5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5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5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5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5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5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5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5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5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5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5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5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5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5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5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5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5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5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5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5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5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5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5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5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5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5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5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5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5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5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5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5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5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5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5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5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5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5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5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5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5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5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5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5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5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5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5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5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5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5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5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5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5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5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5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5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5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5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5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5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5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5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5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5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5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5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5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5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5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5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5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5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5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5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5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5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5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5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5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5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5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5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5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5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5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5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5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5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5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5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5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5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5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5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5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5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5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5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5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5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5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5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5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5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5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5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5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5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5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5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5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5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5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5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5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5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5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5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5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5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5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5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5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5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5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5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5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5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5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5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5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5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5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5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5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5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5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5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5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5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5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5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5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5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5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5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5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5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5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5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5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5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5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5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5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5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5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5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5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5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5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5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5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5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5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5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5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5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5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5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5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5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5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5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5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5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5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5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5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5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5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5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5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5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5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5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5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5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5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5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5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5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5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5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5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5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5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5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5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5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5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5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5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5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5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5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5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5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5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5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5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5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5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5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5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5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5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5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5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5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5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5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5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5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5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5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5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5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5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5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5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5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5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5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5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5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5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5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5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5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5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5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5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5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5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5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5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5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5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5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5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5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5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5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5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5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5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5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5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5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5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5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5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5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5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5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5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5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5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5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5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5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5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5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5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5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5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5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5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5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5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5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5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5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5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5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5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5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5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5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5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5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5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5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5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5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5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5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5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5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5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5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5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5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5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5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5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5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5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5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5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5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5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5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5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5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5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5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5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5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5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5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5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5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5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5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5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5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5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5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5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5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5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5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5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5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5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5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5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5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5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5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5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5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5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5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5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5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5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5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5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5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5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5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5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5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5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5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5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5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5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5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5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5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5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5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5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5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5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5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5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5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5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5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5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5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5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5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5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5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5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5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5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5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5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5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5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5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5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5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5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5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5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5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5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5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5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5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5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5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5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5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5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5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5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5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5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5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5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5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5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5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5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5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5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5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5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5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5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5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5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5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5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5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5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5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5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5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5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5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5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5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5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5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5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5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5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5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5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5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5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5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5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5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5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5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5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5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5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5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5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5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5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5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5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5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5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5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5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5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5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5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5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5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5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5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5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5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5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5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5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5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5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5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5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5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5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5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5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5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5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5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5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5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5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5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5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5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5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5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5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5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5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5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5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5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5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5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5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5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5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5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5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5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5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5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5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5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5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5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5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5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5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5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5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5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5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5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5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5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5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5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5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5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5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5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5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5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5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5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5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5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5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5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5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5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5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5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5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5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5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5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5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5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5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5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5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5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5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5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5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5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5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5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5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5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5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5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5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5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5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5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5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5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5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O1"/>
    <mergeCell ref="A2:G2"/>
    <mergeCell ref="I2:O2"/>
    <mergeCell ref="P2:R2"/>
    <mergeCell ref="T2:V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23</v>
      </c>
      <c r="J1" s="2"/>
      <c r="K1" s="3" t="s">
        <v>24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4" t="s">
        <v>2</v>
      </c>
      <c r="H2" s="5"/>
      <c r="I2" s="6" t="s">
        <v>3</v>
      </c>
      <c r="P2" s="7" t="s">
        <v>4</v>
      </c>
      <c r="S2" s="8"/>
      <c r="T2" s="9" t="s">
        <v>5</v>
      </c>
      <c r="W2" s="2"/>
      <c r="X2" s="2"/>
      <c r="Y2" s="2"/>
      <c r="Z2" s="2"/>
      <c r="AA2" s="2"/>
      <c r="AB2" s="2"/>
      <c r="AC2" s="2"/>
    </row>
    <row r="3">
      <c r="A3" s="10" t="s">
        <v>6</v>
      </c>
      <c r="B3" s="10" t="s">
        <v>7</v>
      </c>
      <c r="C3" s="10" t="s">
        <v>8</v>
      </c>
      <c r="D3" s="10" t="s">
        <v>9</v>
      </c>
      <c r="E3" s="10" t="s">
        <v>10</v>
      </c>
      <c r="F3" s="11" t="s">
        <v>11</v>
      </c>
      <c r="G3" s="11" t="s">
        <v>20</v>
      </c>
      <c r="H3" s="12" t="s">
        <v>12</v>
      </c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  <c r="N3" s="11" t="s">
        <v>11</v>
      </c>
      <c r="O3" s="11" t="s">
        <v>20</v>
      </c>
      <c r="P3" s="13" t="s">
        <v>8</v>
      </c>
      <c r="Q3" s="13" t="s">
        <v>13</v>
      </c>
      <c r="R3" s="13" t="s">
        <v>10</v>
      </c>
      <c r="S3" s="13" t="s">
        <v>7</v>
      </c>
      <c r="T3" s="14" t="s">
        <v>5</v>
      </c>
      <c r="U3" s="8"/>
      <c r="V3" s="8"/>
      <c r="W3" s="2"/>
      <c r="X3" s="2"/>
      <c r="Y3" s="2"/>
      <c r="Z3" s="2"/>
      <c r="AA3" s="2"/>
      <c r="AB3" s="2"/>
      <c r="AC3" s="2"/>
    </row>
    <row r="4">
      <c r="A4" s="15">
        <v>100.0</v>
      </c>
      <c r="B4" s="15">
        <v>1082.0</v>
      </c>
      <c r="C4" s="15">
        <v>281.0</v>
      </c>
      <c r="D4" s="15">
        <v>74.0</v>
      </c>
      <c r="E4" s="15">
        <v>123.0</v>
      </c>
      <c r="F4" s="15">
        <v>920.8318</v>
      </c>
      <c r="G4" s="15"/>
      <c r="H4" s="5">
        <f>MAX(C:C)</f>
        <v>281</v>
      </c>
      <c r="I4" s="15">
        <v>100.0</v>
      </c>
      <c r="J4" s="15">
        <v>1082.0</v>
      </c>
      <c r="K4" s="15">
        <v>281.0</v>
      </c>
      <c r="L4" s="15">
        <v>74.0</v>
      </c>
      <c r="M4" s="15">
        <v>123.0</v>
      </c>
      <c r="N4" s="15">
        <v>52.36509</v>
      </c>
      <c r="O4" s="2"/>
      <c r="P4" s="16" t="b">
        <f t="shared" ref="P4:R4" si="1">C4=K4</f>
        <v>1</v>
      </c>
      <c r="Q4" s="16" t="b">
        <f t="shared" si="1"/>
        <v>1</v>
      </c>
      <c r="R4" s="16" t="b">
        <f t="shared" si="1"/>
        <v>1</v>
      </c>
      <c r="S4" s="17">
        <f t="shared" ref="S4:S53" si="3">J4</f>
        <v>1082</v>
      </c>
      <c r="T4" s="18">
        <f t="shared" ref="T4:T53" si="4">F4/N4</f>
        <v>17.58484135</v>
      </c>
      <c r="U4" s="19" t="s">
        <v>14</v>
      </c>
      <c r="V4" s="20">
        <f>AVERAGE(T:T)</f>
        <v>6.605707565</v>
      </c>
      <c r="W4" s="2"/>
      <c r="X4" s="2"/>
      <c r="Y4" s="2"/>
      <c r="Z4" s="2"/>
      <c r="AA4" s="2"/>
      <c r="AB4" s="2"/>
      <c r="AC4" s="2"/>
    </row>
    <row r="5">
      <c r="A5" s="15">
        <v>101.0</v>
      </c>
      <c r="B5" s="15">
        <v>72.0</v>
      </c>
      <c r="C5" s="15">
        <v>27.0</v>
      </c>
      <c r="D5" s="15">
        <v>33.0</v>
      </c>
      <c r="E5" s="15">
        <v>64.0</v>
      </c>
      <c r="F5" s="15">
        <v>62.4937</v>
      </c>
      <c r="G5" s="15"/>
      <c r="H5" s="12" t="s">
        <v>15</v>
      </c>
      <c r="I5" s="15">
        <v>101.0</v>
      </c>
      <c r="J5" s="15">
        <v>72.0</v>
      </c>
      <c r="K5" s="15">
        <v>27.0</v>
      </c>
      <c r="L5" s="15">
        <v>33.0</v>
      </c>
      <c r="M5" s="15">
        <v>64.0</v>
      </c>
      <c r="N5" s="15">
        <v>22.46656</v>
      </c>
      <c r="O5" s="2"/>
      <c r="P5" s="16" t="b">
        <f t="shared" ref="P5:R5" si="2">C5=K5</f>
        <v>1</v>
      </c>
      <c r="Q5" s="16" t="b">
        <f t="shared" si="2"/>
        <v>1</v>
      </c>
      <c r="R5" s="16" t="b">
        <f t="shared" si="2"/>
        <v>1</v>
      </c>
      <c r="S5" s="17">
        <f t="shared" si="3"/>
        <v>72</v>
      </c>
      <c r="T5" s="18">
        <f t="shared" si="4"/>
        <v>2.781631901</v>
      </c>
      <c r="U5" s="19" t="s">
        <v>16</v>
      </c>
      <c r="V5" s="20">
        <f>max(T:T)</f>
        <v>21.41963792</v>
      </c>
      <c r="W5" s="2"/>
      <c r="X5" s="2"/>
      <c r="Y5" s="2"/>
      <c r="Z5" s="2"/>
      <c r="AA5" s="2"/>
      <c r="AB5" s="2"/>
      <c r="AC5" s="2"/>
    </row>
    <row r="6">
      <c r="A6" s="15">
        <v>102.0</v>
      </c>
      <c r="B6" s="15">
        <v>81.0</v>
      </c>
      <c r="C6" s="15">
        <v>36.0</v>
      </c>
      <c r="D6" s="15">
        <v>34.0</v>
      </c>
      <c r="E6" s="15">
        <v>79.0</v>
      </c>
      <c r="F6" s="15">
        <v>66.8504</v>
      </c>
      <c r="G6" s="15"/>
      <c r="H6" s="5">
        <f t="array" ref="H6">INDEX(A:A, MATCH(H4, C:C, 0))</f>
        <v>100</v>
      </c>
      <c r="I6" s="15">
        <v>102.0</v>
      </c>
      <c r="J6" s="15">
        <v>81.0</v>
      </c>
      <c r="K6" s="15">
        <v>36.0</v>
      </c>
      <c r="L6" s="15">
        <v>34.0</v>
      </c>
      <c r="M6" s="15">
        <v>79.0</v>
      </c>
      <c r="N6" s="15">
        <v>27.36845</v>
      </c>
      <c r="O6" s="2"/>
      <c r="P6" s="16" t="b">
        <f t="shared" ref="P6:R6" si="5">C6=K6</f>
        <v>1</v>
      </c>
      <c r="Q6" s="16" t="b">
        <f t="shared" si="5"/>
        <v>1</v>
      </c>
      <c r="R6" s="16" t="b">
        <f t="shared" si="5"/>
        <v>1</v>
      </c>
      <c r="S6" s="17">
        <f t="shared" si="3"/>
        <v>81</v>
      </c>
      <c r="T6" s="18">
        <f t="shared" si="4"/>
        <v>2.442608186</v>
      </c>
      <c r="U6" s="19" t="s">
        <v>17</v>
      </c>
      <c r="V6" s="20">
        <f>MIN(T:T)</f>
        <v>1.769276824</v>
      </c>
      <c r="W6" s="2"/>
      <c r="X6" s="2"/>
      <c r="Y6" s="2"/>
      <c r="Z6" s="2"/>
      <c r="AA6" s="2"/>
      <c r="AB6" s="2"/>
      <c r="AC6" s="2"/>
    </row>
    <row r="7">
      <c r="A7" s="15">
        <v>103.0</v>
      </c>
      <c r="B7" s="15">
        <v>79.0</v>
      </c>
      <c r="C7" s="15">
        <v>39.0</v>
      </c>
      <c r="D7" s="15">
        <v>5.0</v>
      </c>
      <c r="E7" s="15">
        <v>62.0</v>
      </c>
      <c r="F7" s="15">
        <v>64.353</v>
      </c>
      <c r="G7" s="15"/>
      <c r="H7" s="5"/>
      <c r="I7" s="15">
        <v>103.0</v>
      </c>
      <c r="J7" s="15">
        <v>79.0</v>
      </c>
      <c r="K7" s="15">
        <v>39.0</v>
      </c>
      <c r="L7" s="15">
        <v>5.0</v>
      </c>
      <c r="M7" s="15">
        <v>62.0</v>
      </c>
      <c r="N7" s="15">
        <v>28.14365</v>
      </c>
      <c r="O7" s="2"/>
      <c r="P7" s="16" t="b">
        <f t="shared" ref="P7:R7" si="6">C7=K7</f>
        <v>1</v>
      </c>
      <c r="Q7" s="16" t="b">
        <f t="shared" si="6"/>
        <v>1</v>
      </c>
      <c r="R7" s="16" t="b">
        <f t="shared" si="6"/>
        <v>1</v>
      </c>
      <c r="S7" s="17">
        <f t="shared" si="3"/>
        <v>79</v>
      </c>
      <c r="T7" s="18">
        <f t="shared" si="4"/>
        <v>2.286590403</v>
      </c>
      <c r="U7" s="8"/>
      <c r="V7" s="8"/>
      <c r="W7" s="2"/>
      <c r="X7" s="2"/>
      <c r="Y7" s="2"/>
      <c r="Z7" s="2"/>
      <c r="AA7" s="2"/>
      <c r="AB7" s="2"/>
      <c r="AC7" s="2"/>
    </row>
    <row r="8">
      <c r="A8" s="15">
        <v>104.0</v>
      </c>
      <c r="B8" s="15">
        <v>89.0</v>
      </c>
      <c r="C8" s="15">
        <v>37.0</v>
      </c>
      <c r="D8" s="15">
        <v>52.0</v>
      </c>
      <c r="E8" s="15">
        <v>83.0</v>
      </c>
      <c r="F8" s="15">
        <v>72.633</v>
      </c>
      <c r="G8" s="15"/>
      <c r="H8" s="5"/>
      <c r="I8" s="15">
        <v>104.0</v>
      </c>
      <c r="J8" s="15">
        <v>89.0</v>
      </c>
      <c r="K8" s="15">
        <v>37.0</v>
      </c>
      <c r="L8" s="15">
        <v>52.0</v>
      </c>
      <c r="M8" s="15">
        <v>83.0</v>
      </c>
      <c r="N8" s="15">
        <v>23.86022</v>
      </c>
      <c r="O8" s="2"/>
      <c r="P8" s="16" t="b">
        <f t="shared" ref="P8:R8" si="7">C8=K8</f>
        <v>1</v>
      </c>
      <c r="Q8" s="16" t="b">
        <f t="shared" si="7"/>
        <v>1</v>
      </c>
      <c r="R8" s="16" t="b">
        <f t="shared" si="7"/>
        <v>1</v>
      </c>
      <c r="S8" s="17">
        <f t="shared" si="3"/>
        <v>89</v>
      </c>
      <c r="T8" s="18">
        <f t="shared" si="4"/>
        <v>3.044104371</v>
      </c>
      <c r="U8" s="8"/>
      <c r="V8" s="8"/>
      <c r="W8" s="2"/>
      <c r="X8" s="2"/>
      <c r="Y8" s="2"/>
      <c r="Z8" s="2"/>
      <c r="AA8" s="2"/>
      <c r="AB8" s="2"/>
      <c r="AC8" s="2"/>
    </row>
    <row r="9">
      <c r="A9" s="15">
        <v>105.0</v>
      </c>
      <c r="B9" s="15">
        <v>616.0</v>
      </c>
      <c r="C9" s="15">
        <v>49.0</v>
      </c>
      <c r="D9" s="15">
        <v>117.0</v>
      </c>
      <c r="E9" s="15">
        <v>163.0</v>
      </c>
      <c r="F9" s="15">
        <v>501.7546</v>
      </c>
      <c r="G9" s="15"/>
      <c r="H9" s="5"/>
      <c r="I9" s="15">
        <v>105.0</v>
      </c>
      <c r="J9" s="15">
        <v>616.0</v>
      </c>
      <c r="K9" s="15">
        <v>49.0</v>
      </c>
      <c r="L9" s="15">
        <v>117.0</v>
      </c>
      <c r="M9" s="15">
        <v>163.0</v>
      </c>
      <c r="N9" s="15">
        <v>40.41319</v>
      </c>
      <c r="O9" s="2"/>
      <c r="P9" s="16" t="b">
        <f t="shared" ref="P9:R9" si="8">C9=K9</f>
        <v>1</v>
      </c>
      <c r="Q9" s="16" t="b">
        <f t="shared" si="8"/>
        <v>1</v>
      </c>
      <c r="R9" s="16" t="b">
        <f t="shared" si="8"/>
        <v>1</v>
      </c>
      <c r="S9" s="17">
        <f t="shared" si="3"/>
        <v>616</v>
      </c>
      <c r="T9" s="18">
        <f t="shared" si="4"/>
        <v>12.4156148</v>
      </c>
      <c r="U9" s="8"/>
      <c r="V9" s="8"/>
      <c r="W9" s="2"/>
      <c r="X9" s="2"/>
      <c r="Y9" s="2"/>
      <c r="Z9" s="2"/>
      <c r="AA9" s="2"/>
      <c r="AB9" s="2"/>
      <c r="AC9" s="2"/>
    </row>
    <row r="10">
      <c r="A10" s="15">
        <v>106.0</v>
      </c>
      <c r="B10" s="15">
        <v>90.0</v>
      </c>
      <c r="C10" s="15">
        <v>45.0</v>
      </c>
      <c r="D10" s="15">
        <v>2.0</v>
      </c>
      <c r="E10" s="15">
        <v>18.0</v>
      </c>
      <c r="F10" s="15">
        <v>73.1366</v>
      </c>
      <c r="G10" s="15"/>
      <c r="H10" s="5"/>
      <c r="I10" s="15">
        <v>106.0</v>
      </c>
      <c r="J10" s="15">
        <v>90.0</v>
      </c>
      <c r="K10" s="15">
        <v>45.0</v>
      </c>
      <c r="L10" s="15">
        <v>2.0</v>
      </c>
      <c r="M10" s="15">
        <v>18.0</v>
      </c>
      <c r="N10" s="15">
        <v>19.0913</v>
      </c>
      <c r="O10" s="2"/>
      <c r="P10" s="16" t="b">
        <f t="shared" ref="P10:R10" si="9">C10=K10</f>
        <v>1</v>
      </c>
      <c r="Q10" s="16" t="b">
        <f t="shared" si="9"/>
        <v>1</v>
      </c>
      <c r="R10" s="16" t="b">
        <f t="shared" si="9"/>
        <v>1</v>
      </c>
      <c r="S10" s="17">
        <f t="shared" si="3"/>
        <v>90</v>
      </c>
      <c r="T10" s="18">
        <f t="shared" si="4"/>
        <v>3.83088632</v>
      </c>
      <c r="U10" s="8"/>
      <c r="V10" s="8"/>
      <c r="W10" s="2"/>
      <c r="X10" s="2"/>
      <c r="Y10" s="2"/>
      <c r="Z10" s="2"/>
      <c r="AA10" s="2"/>
      <c r="AB10" s="2"/>
      <c r="AC10" s="2"/>
    </row>
    <row r="11">
      <c r="A11" s="15">
        <v>107.0</v>
      </c>
      <c r="B11" s="15">
        <v>88.0</v>
      </c>
      <c r="C11" s="15">
        <v>46.0</v>
      </c>
      <c r="D11" s="15">
        <v>15.0</v>
      </c>
      <c r="E11" s="15">
        <v>48.0</v>
      </c>
      <c r="F11" s="15">
        <v>71.0538</v>
      </c>
      <c r="G11" s="15"/>
      <c r="H11" s="5"/>
      <c r="I11" s="15">
        <v>107.0</v>
      </c>
      <c r="J11" s="15">
        <v>88.0</v>
      </c>
      <c r="K11" s="15">
        <v>46.0</v>
      </c>
      <c r="L11" s="15">
        <v>15.0</v>
      </c>
      <c r="M11" s="15">
        <v>48.0</v>
      </c>
      <c r="N11" s="15">
        <v>23.61783</v>
      </c>
      <c r="O11" s="2"/>
      <c r="P11" s="16" t="b">
        <f t="shared" ref="P11:R11" si="10">C11=K11</f>
        <v>1</v>
      </c>
      <c r="Q11" s="16" t="b">
        <f t="shared" si="10"/>
        <v>1</v>
      </c>
      <c r="R11" s="16" t="b">
        <f t="shared" si="10"/>
        <v>1</v>
      </c>
      <c r="S11" s="17">
        <f t="shared" si="3"/>
        <v>88</v>
      </c>
      <c r="T11" s="18">
        <f t="shared" si="4"/>
        <v>3.008481304</v>
      </c>
      <c r="U11" s="8"/>
      <c r="V11" s="8"/>
      <c r="W11" s="2"/>
      <c r="X11" s="2"/>
      <c r="Y11" s="2"/>
      <c r="Z11" s="2"/>
      <c r="AA11" s="2"/>
      <c r="AB11" s="2"/>
      <c r="AC11" s="2"/>
    </row>
    <row r="12">
      <c r="A12" s="15">
        <v>108.0</v>
      </c>
      <c r="B12" s="15">
        <v>627.0</v>
      </c>
      <c r="C12" s="15">
        <v>41.0</v>
      </c>
      <c r="D12" s="15">
        <v>448.0</v>
      </c>
      <c r="E12" s="15">
        <v>499.0</v>
      </c>
      <c r="F12" s="15">
        <v>510.4923</v>
      </c>
      <c r="G12" s="15"/>
      <c r="H12" s="5"/>
      <c r="I12" s="15">
        <v>108.0</v>
      </c>
      <c r="J12" s="15">
        <v>627.0</v>
      </c>
      <c r="K12" s="15">
        <v>41.0</v>
      </c>
      <c r="L12" s="15">
        <v>448.0</v>
      </c>
      <c r="M12" s="15">
        <v>499.0</v>
      </c>
      <c r="N12" s="15">
        <v>43.42701</v>
      </c>
      <c r="O12" s="2"/>
      <c r="P12" s="16" t="b">
        <f t="shared" ref="P12:R12" si="11">C12=K12</f>
        <v>1</v>
      </c>
      <c r="Q12" s="16" t="b">
        <f t="shared" si="11"/>
        <v>1</v>
      </c>
      <c r="R12" s="16" t="b">
        <f t="shared" si="11"/>
        <v>1</v>
      </c>
      <c r="S12" s="17">
        <f t="shared" si="3"/>
        <v>627</v>
      </c>
      <c r="T12" s="18">
        <f t="shared" si="4"/>
        <v>11.75517955</v>
      </c>
      <c r="U12" s="8"/>
      <c r="V12" s="8"/>
      <c r="W12" s="2"/>
      <c r="X12" s="2"/>
      <c r="Y12" s="2"/>
      <c r="Z12" s="2"/>
      <c r="AA12" s="2"/>
      <c r="AB12" s="2"/>
      <c r="AC12" s="2"/>
    </row>
    <row r="13">
      <c r="A13" s="15">
        <v>109.0</v>
      </c>
      <c r="B13" s="15">
        <v>103.0</v>
      </c>
      <c r="C13" s="15">
        <v>38.0</v>
      </c>
      <c r="D13" s="15">
        <v>22.0</v>
      </c>
      <c r="E13" s="15">
        <v>56.0</v>
      </c>
      <c r="F13" s="15">
        <v>83.6517</v>
      </c>
      <c r="G13" s="15"/>
      <c r="H13" s="5"/>
      <c r="I13" s="15">
        <v>109.0</v>
      </c>
      <c r="J13" s="15">
        <v>103.0</v>
      </c>
      <c r="K13" s="15">
        <v>38.0</v>
      </c>
      <c r="L13" s="15">
        <v>22.0</v>
      </c>
      <c r="M13" s="15">
        <v>56.0</v>
      </c>
      <c r="N13" s="15">
        <v>25.19251</v>
      </c>
      <c r="O13" s="2"/>
      <c r="P13" s="16" t="b">
        <f t="shared" ref="P13:R13" si="12">C13=K13</f>
        <v>1</v>
      </c>
      <c r="Q13" s="16" t="b">
        <f t="shared" si="12"/>
        <v>1</v>
      </c>
      <c r="R13" s="16" t="b">
        <f t="shared" si="12"/>
        <v>1</v>
      </c>
      <c r="S13" s="17">
        <f t="shared" si="3"/>
        <v>103</v>
      </c>
      <c r="T13" s="18">
        <f t="shared" si="4"/>
        <v>3.320498831</v>
      </c>
      <c r="U13" s="8"/>
      <c r="V13" s="8"/>
      <c r="W13" s="2"/>
      <c r="X13" s="2"/>
      <c r="Y13" s="2"/>
      <c r="Z13" s="2"/>
      <c r="AA13" s="2"/>
      <c r="AB13" s="2"/>
      <c r="AC13" s="2"/>
    </row>
    <row r="14">
      <c r="A14" s="15">
        <v>110.0</v>
      </c>
      <c r="B14" s="15">
        <v>82.0</v>
      </c>
      <c r="C14" s="15">
        <v>33.0</v>
      </c>
      <c r="D14" s="15">
        <v>29.0</v>
      </c>
      <c r="E14" s="15">
        <v>66.0</v>
      </c>
      <c r="F14" s="15">
        <v>66.7011</v>
      </c>
      <c r="G14" s="15"/>
      <c r="H14" s="5"/>
      <c r="I14" s="15">
        <v>110.0</v>
      </c>
      <c r="J14" s="15">
        <v>82.0</v>
      </c>
      <c r="K14" s="15">
        <v>33.0</v>
      </c>
      <c r="L14" s="15">
        <v>29.0</v>
      </c>
      <c r="M14" s="15">
        <v>66.0</v>
      </c>
      <c r="N14" s="15">
        <v>25.17594</v>
      </c>
      <c r="O14" s="2"/>
      <c r="P14" s="16" t="b">
        <f t="shared" ref="P14:R14" si="13">C14=K14</f>
        <v>1</v>
      </c>
      <c r="Q14" s="16" t="b">
        <f t="shared" si="13"/>
        <v>1</v>
      </c>
      <c r="R14" s="16" t="b">
        <f t="shared" si="13"/>
        <v>1</v>
      </c>
      <c r="S14" s="17">
        <f t="shared" si="3"/>
        <v>82</v>
      </c>
      <c r="T14" s="18">
        <f t="shared" si="4"/>
        <v>2.649398592</v>
      </c>
      <c r="U14" s="8"/>
      <c r="V14" s="8"/>
      <c r="W14" s="2"/>
      <c r="X14" s="2"/>
      <c r="Y14" s="2"/>
      <c r="Z14" s="2"/>
      <c r="AA14" s="2"/>
      <c r="AB14" s="2"/>
      <c r="AC14" s="2"/>
    </row>
    <row r="15">
      <c r="A15" s="15">
        <v>111.0</v>
      </c>
      <c r="B15" s="15">
        <v>473.0</v>
      </c>
      <c r="C15" s="15">
        <v>38.0</v>
      </c>
      <c r="D15" s="15">
        <v>9.0</v>
      </c>
      <c r="E15" s="15">
        <v>47.0</v>
      </c>
      <c r="F15" s="15">
        <v>386.0566</v>
      </c>
      <c r="G15" s="15"/>
      <c r="H15" s="5"/>
      <c r="I15" s="15">
        <v>111.0</v>
      </c>
      <c r="J15" s="15">
        <v>473.0</v>
      </c>
      <c r="K15" s="15">
        <v>38.0</v>
      </c>
      <c r="L15" s="15">
        <v>9.0</v>
      </c>
      <c r="M15" s="15">
        <v>47.0</v>
      </c>
      <c r="N15" s="15">
        <v>36.10214</v>
      </c>
      <c r="O15" s="2"/>
      <c r="P15" s="16" t="b">
        <f t="shared" ref="P15:R15" si="14">C15=K15</f>
        <v>1</v>
      </c>
      <c r="Q15" s="16" t="b">
        <f t="shared" si="14"/>
        <v>1</v>
      </c>
      <c r="R15" s="16" t="b">
        <f t="shared" si="14"/>
        <v>1</v>
      </c>
      <c r="S15" s="17">
        <f t="shared" si="3"/>
        <v>473</v>
      </c>
      <c r="T15" s="18">
        <f t="shared" si="4"/>
        <v>10.69345474</v>
      </c>
      <c r="U15" s="8"/>
      <c r="V15" s="8"/>
      <c r="W15" s="2"/>
      <c r="X15" s="2"/>
      <c r="Y15" s="2"/>
      <c r="Z15" s="2"/>
      <c r="AA15" s="2"/>
      <c r="AB15" s="2"/>
      <c r="AC15" s="2"/>
    </row>
    <row r="16">
      <c r="A16" s="15">
        <v>112.0</v>
      </c>
      <c r="B16" s="15">
        <v>77.0</v>
      </c>
      <c r="C16" s="15">
        <v>31.0</v>
      </c>
      <c r="D16" s="15">
        <v>16.0</v>
      </c>
      <c r="E16" s="15">
        <v>77.0</v>
      </c>
      <c r="F16" s="15">
        <v>62.7903</v>
      </c>
      <c r="G16" s="15"/>
      <c r="H16" s="5"/>
      <c r="I16" s="15">
        <v>112.0</v>
      </c>
      <c r="J16" s="15">
        <v>77.0</v>
      </c>
      <c r="K16" s="15">
        <v>31.0</v>
      </c>
      <c r="L16" s="15">
        <v>16.0</v>
      </c>
      <c r="M16" s="15">
        <v>77.0</v>
      </c>
      <c r="N16" s="15">
        <v>29.52627</v>
      </c>
      <c r="O16" s="2"/>
      <c r="P16" s="16" t="b">
        <f t="shared" ref="P16:R16" si="15">C16=K16</f>
        <v>1</v>
      </c>
      <c r="Q16" s="16" t="b">
        <f t="shared" si="15"/>
        <v>1</v>
      </c>
      <c r="R16" s="16" t="b">
        <f t="shared" si="15"/>
        <v>1</v>
      </c>
      <c r="S16" s="17">
        <f t="shared" si="3"/>
        <v>77</v>
      </c>
      <c r="T16" s="18">
        <f t="shared" si="4"/>
        <v>2.126590998</v>
      </c>
      <c r="U16" s="8"/>
      <c r="V16" s="8"/>
      <c r="W16" s="2"/>
      <c r="X16" s="2"/>
      <c r="Y16" s="2"/>
      <c r="Z16" s="2"/>
      <c r="AA16" s="2"/>
      <c r="AB16" s="2"/>
      <c r="AC16" s="2"/>
    </row>
    <row r="17">
      <c r="A17" s="15">
        <v>113.0</v>
      </c>
      <c r="B17" s="15">
        <v>72.0</v>
      </c>
      <c r="C17" s="15">
        <v>30.0</v>
      </c>
      <c r="D17" s="15">
        <v>9.0</v>
      </c>
      <c r="E17" s="15">
        <v>59.0</v>
      </c>
      <c r="F17" s="15">
        <v>59.1513</v>
      </c>
      <c r="G17" s="15"/>
      <c r="H17" s="5"/>
      <c r="I17" s="15">
        <v>113.0</v>
      </c>
      <c r="J17" s="15">
        <v>72.0</v>
      </c>
      <c r="K17" s="15">
        <v>30.0</v>
      </c>
      <c r="L17" s="15">
        <v>9.0</v>
      </c>
      <c r="M17" s="15">
        <v>59.0</v>
      </c>
      <c r="N17" s="15">
        <v>27.98813</v>
      </c>
      <c r="O17" s="2"/>
      <c r="P17" s="16" t="b">
        <f t="shared" ref="P17:R17" si="16">C17=K17</f>
        <v>1</v>
      </c>
      <c r="Q17" s="16" t="b">
        <f t="shared" si="16"/>
        <v>1</v>
      </c>
      <c r="R17" s="16" t="b">
        <f t="shared" si="16"/>
        <v>1</v>
      </c>
      <c r="S17" s="17">
        <f t="shared" si="3"/>
        <v>72</v>
      </c>
      <c r="T17" s="18">
        <f t="shared" si="4"/>
        <v>2.113442377</v>
      </c>
      <c r="U17" s="8"/>
      <c r="V17" s="8"/>
      <c r="W17" s="2"/>
      <c r="X17" s="2"/>
      <c r="Y17" s="2"/>
      <c r="Z17" s="2"/>
      <c r="AA17" s="2"/>
      <c r="AB17" s="2"/>
      <c r="AC17" s="2"/>
    </row>
    <row r="18">
      <c r="A18" s="15">
        <v>114.0</v>
      </c>
      <c r="B18" s="15">
        <v>466.0</v>
      </c>
      <c r="C18" s="15">
        <v>58.0</v>
      </c>
      <c r="D18" s="15">
        <v>220.0</v>
      </c>
      <c r="E18" s="15">
        <v>275.0</v>
      </c>
      <c r="F18" s="15">
        <v>408.5185</v>
      </c>
      <c r="G18" s="15"/>
      <c r="H18" s="5"/>
      <c r="I18" s="15">
        <v>114.0</v>
      </c>
      <c r="J18" s="15">
        <v>466.0</v>
      </c>
      <c r="K18" s="15">
        <v>58.0</v>
      </c>
      <c r="L18" s="15">
        <v>220.0</v>
      </c>
      <c r="M18" s="15">
        <v>275.0</v>
      </c>
      <c r="N18" s="15">
        <v>38.95597</v>
      </c>
      <c r="O18" s="2"/>
      <c r="P18" s="16" t="b">
        <f t="shared" ref="P18:R18" si="17">C18=K18</f>
        <v>1</v>
      </c>
      <c r="Q18" s="16" t="b">
        <f t="shared" si="17"/>
        <v>1</v>
      </c>
      <c r="R18" s="16" t="b">
        <f t="shared" si="17"/>
        <v>1</v>
      </c>
      <c r="S18" s="17">
        <f t="shared" si="3"/>
        <v>466</v>
      </c>
      <c r="T18" s="18">
        <f t="shared" si="4"/>
        <v>10.48667252</v>
      </c>
      <c r="U18" s="8"/>
      <c r="V18" s="8"/>
      <c r="W18" s="2"/>
      <c r="X18" s="2"/>
      <c r="Y18" s="2"/>
      <c r="Z18" s="2"/>
      <c r="AA18" s="2"/>
      <c r="AB18" s="2"/>
      <c r="AC18" s="2"/>
    </row>
    <row r="19">
      <c r="A19" s="15">
        <v>115.0</v>
      </c>
      <c r="B19" s="15">
        <v>103.0</v>
      </c>
      <c r="C19" s="15">
        <v>39.0</v>
      </c>
      <c r="D19" s="15">
        <v>4.0</v>
      </c>
      <c r="E19" s="15">
        <v>45.0</v>
      </c>
      <c r="F19" s="15">
        <v>83.641</v>
      </c>
      <c r="G19" s="15"/>
      <c r="H19" s="5"/>
      <c r="I19" s="15">
        <v>115.0</v>
      </c>
      <c r="J19" s="15">
        <v>103.0</v>
      </c>
      <c r="K19" s="15">
        <v>39.0</v>
      </c>
      <c r="L19" s="15">
        <v>4.0</v>
      </c>
      <c r="M19" s="15">
        <v>45.0</v>
      </c>
      <c r="N19" s="15">
        <v>25.99232</v>
      </c>
      <c r="O19" s="2"/>
      <c r="P19" s="16" t="b">
        <f t="shared" ref="P19:R19" si="18">C19=K19</f>
        <v>1</v>
      </c>
      <c r="Q19" s="16" t="b">
        <f t="shared" si="18"/>
        <v>1</v>
      </c>
      <c r="R19" s="16" t="b">
        <f t="shared" si="18"/>
        <v>1</v>
      </c>
      <c r="S19" s="17">
        <f t="shared" si="3"/>
        <v>103</v>
      </c>
      <c r="T19" s="18">
        <f t="shared" si="4"/>
        <v>3.21791206</v>
      </c>
      <c r="U19" s="8"/>
      <c r="V19" s="8"/>
      <c r="W19" s="2"/>
      <c r="X19" s="2"/>
      <c r="Y19" s="2"/>
      <c r="Z19" s="2"/>
      <c r="AA19" s="2"/>
      <c r="AB19" s="2"/>
      <c r="AC19" s="2"/>
    </row>
    <row r="20">
      <c r="A20" s="15">
        <v>116.0</v>
      </c>
      <c r="B20" s="15">
        <v>201.0</v>
      </c>
      <c r="C20" s="15">
        <v>35.0</v>
      </c>
      <c r="D20" s="15">
        <v>119.0</v>
      </c>
      <c r="E20" s="15">
        <v>156.0</v>
      </c>
      <c r="F20" s="15">
        <v>164.4883</v>
      </c>
      <c r="G20" s="15"/>
      <c r="H20" s="5"/>
      <c r="I20" s="15">
        <v>116.0</v>
      </c>
      <c r="J20" s="15">
        <v>201.0</v>
      </c>
      <c r="K20" s="15">
        <v>35.0</v>
      </c>
      <c r="L20" s="15">
        <v>119.0</v>
      </c>
      <c r="M20" s="15">
        <v>156.0</v>
      </c>
      <c r="N20" s="15">
        <v>37.80912</v>
      </c>
      <c r="O20" s="2"/>
      <c r="P20" s="16" t="b">
        <f t="shared" ref="P20:R20" si="19">C20=K20</f>
        <v>1</v>
      </c>
      <c r="Q20" s="16" t="b">
        <f t="shared" si="19"/>
        <v>1</v>
      </c>
      <c r="R20" s="16" t="b">
        <f t="shared" si="19"/>
        <v>1</v>
      </c>
      <c r="S20" s="17">
        <f t="shared" si="3"/>
        <v>201</v>
      </c>
      <c r="T20" s="18">
        <f t="shared" si="4"/>
        <v>4.350492685</v>
      </c>
      <c r="U20" s="8"/>
      <c r="V20" s="8"/>
      <c r="W20" s="2"/>
      <c r="X20" s="2"/>
      <c r="Y20" s="2"/>
      <c r="Z20" s="2"/>
      <c r="AA20" s="2"/>
      <c r="AB20" s="2"/>
      <c r="AC20" s="2"/>
    </row>
    <row r="21">
      <c r="A21" s="15">
        <v>117.0</v>
      </c>
      <c r="B21" s="15">
        <v>76.0</v>
      </c>
      <c r="C21" s="15">
        <v>40.0</v>
      </c>
      <c r="D21" s="15">
        <v>26.0</v>
      </c>
      <c r="E21" s="15">
        <v>73.0</v>
      </c>
      <c r="F21" s="15">
        <v>62.1989</v>
      </c>
      <c r="G21" s="15"/>
      <c r="H21" s="5"/>
      <c r="I21" s="15">
        <v>117.0</v>
      </c>
      <c r="J21" s="15">
        <v>76.0</v>
      </c>
      <c r="K21" s="15">
        <v>40.0</v>
      </c>
      <c r="L21" s="15">
        <v>26.0</v>
      </c>
      <c r="M21" s="15">
        <v>73.0</v>
      </c>
      <c r="N21" s="15">
        <v>28.86861</v>
      </c>
      <c r="O21" s="2"/>
      <c r="P21" s="16" t="b">
        <f t="shared" ref="P21:R21" si="20">C21=K21</f>
        <v>1</v>
      </c>
      <c r="Q21" s="16" t="b">
        <f t="shared" si="20"/>
        <v>1</v>
      </c>
      <c r="R21" s="16" t="b">
        <f t="shared" si="20"/>
        <v>1</v>
      </c>
      <c r="S21" s="17">
        <f t="shared" si="3"/>
        <v>76</v>
      </c>
      <c r="T21" s="18">
        <f t="shared" si="4"/>
        <v>2.154551258</v>
      </c>
      <c r="U21" s="8"/>
      <c r="V21" s="8"/>
      <c r="W21" s="2"/>
      <c r="X21" s="2"/>
      <c r="Y21" s="2"/>
      <c r="Z21" s="2"/>
      <c r="AA21" s="2"/>
      <c r="AB21" s="2"/>
      <c r="AC21" s="2"/>
    </row>
    <row r="22">
      <c r="A22" s="15">
        <v>118.0</v>
      </c>
      <c r="B22" s="15">
        <v>154.0</v>
      </c>
      <c r="C22" s="15">
        <v>36.0</v>
      </c>
      <c r="D22" s="15">
        <v>68.0</v>
      </c>
      <c r="E22" s="15">
        <v>97.0</v>
      </c>
      <c r="F22" s="15">
        <v>126.1319</v>
      </c>
      <c r="G22" s="15"/>
      <c r="H22" s="5"/>
      <c r="I22" s="15">
        <v>118.0</v>
      </c>
      <c r="J22" s="15">
        <v>154.0</v>
      </c>
      <c r="K22" s="15">
        <v>36.0</v>
      </c>
      <c r="L22" s="15">
        <v>68.0</v>
      </c>
      <c r="M22" s="15">
        <v>97.0</v>
      </c>
      <c r="N22" s="15">
        <v>24.9897</v>
      </c>
      <c r="O22" s="2"/>
      <c r="P22" s="16" t="b">
        <f t="shared" ref="P22:R22" si="21">C22=K22</f>
        <v>1</v>
      </c>
      <c r="Q22" s="16" t="b">
        <f t="shared" si="21"/>
        <v>1</v>
      </c>
      <c r="R22" s="16" t="b">
        <f t="shared" si="21"/>
        <v>1</v>
      </c>
      <c r="S22" s="17">
        <f t="shared" si="3"/>
        <v>154</v>
      </c>
      <c r="T22" s="18">
        <f t="shared" si="4"/>
        <v>5.04735551</v>
      </c>
      <c r="U22" s="8"/>
      <c r="V22" s="8"/>
      <c r="W22" s="2"/>
      <c r="X22" s="2"/>
      <c r="Y22" s="2"/>
      <c r="Z22" s="2"/>
      <c r="AA22" s="2"/>
      <c r="AB22" s="2"/>
      <c r="AC22" s="2"/>
    </row>
    <row r="23">
      <c r="A23" s="15">
        <v>119.0</v>
      </c>
      <c r="B23" s="15">
        <v>497.0</v>
      </c>
      <c r="C23" s="15">
        <v>51.0</v>
      </c>
      <c r="D23" s="15">
        <v>282.0</v>
      </c>
      <c r="E23" s="15">
        <v>326.0</v>
      </c>
      <c r="F23" s="15">
        <v>403.9763</v>
      </c>
      <c r="G23" s="15"/>
      <c r="H23" s="5"/>
      <c r="I23" s="15">
        <v>119.0</v>
      </c>
      <c r="J23" s="15">
        <v>497.0</v>
      </c>
      <c r="K23" s="15">
        <v>51.0</v>
      </c>
      <c r="L23" s="15">
        <v>282.0</v>
      </c>
      <c r="M23" s="15">
        <v>326.0</v>
      </c>
      <c r="N23" s="15">
        <v>39.0992</v>
      </c>
      <c r="O23" s="2"/>
      <c r="P23" s="16" t="b">
        <f t="shared" ref="P23:R23" si="22">C23=K23</f>
        <v>1</v>
      </c>
      <c r="Q23" s="16" t="b">
        <f t="shared" si="22"/>
        <v>1</v>
      </c>
      <c r="R23" s="16" t="b">
        <f t="shared" si="22"/>
        <v>1</v>
      </c>
      <c r="S23" s="17">
        <f t="shared" si="3"/>
        <v>497</v>
      </c>
      <c r="T23" s="18">
        <f t="shared" si="4"/>
        <v>10.33208608</v>
      </c>
      <c r="U23" s="8"/>
      <c r="V23" s="8"/>
      <c r="W23" s="2"/>
      <c r="X23" s="2"/>
      <c r="Y23" s="2"/>
      <c r="Z23" s="2"/>
      <c r="AA23" s="2"/>
      <c r="AB23" s="2"/>
      <c r="AC23" s="2"/>
    </row>
    <row r="24">
      <c r="A24" s="15">
        <v>120.0</v>
      </c>
      <c r="B24" s="15">
        <v>90.0</v>
      </c>
      <c r="C24" s="15">
        <v>37.0</v>
      </c>
      <c r="D24" s="15">
        <v>44.0</v>
      </c>
      <c r="E24" s="15">
        <v>87.0</v>
      </c>
      <c r="F24" s="15">
        <v>72.9487</v>
      </c>
      <c r="G24" s="15"/>
      <c r="H24" s="5"/>
      <c r="I24" s="15">
        <v>120.0</v>
      </c>
      <c r="J24" s="15">
        <v>90.0</v>
      </c>
      <c r="K24" s="15">
        <v>37.0</v>
      </c>
      <c r="L24" s="15">
        <v>44.0</v>
      </c>
      <c r="M24" s="15">
        <v>87.0</v>
      </c>
      <c r="N24" s="15">
        <v>38.61088</v>
      </c>
      <c r="O24" s="2"/>
      <c r="P24" s="16" t="b">
        <f t="shared" ref="P24:R24" si="23">C24=K24</f>
        <v>1</v>
      </c>
      <c r="Q24" s="16" t="b">
        <f t="shared" si="23"/>
        <v>1</v>
      </c>
      <c r="R24" s="16" t="b">
        <f t="shared" si="23"/>
        <v>1</v>
      </c>
      <c r="S24" s="17">
        <f t="shared" si="3"/>
        <v>90</v>
      </c>
      <c r="T24" s="18">
        <f t="shared" si="4"/>
        <v>1.889330158</v>
      </c>
      <c r="U24" s="8"/>
      <c r="V24" s="8"/>
      <c r="W24" s="2"/>
      <c r="X24" s="2"/>
      <c r="Y24" s="2"/>
      <c r="Z24" s="2"/>
      <c r="AA24" s="2"/>
      <c r="AB24" s="2"/>
      <c r="AC24" s="2"/>
    </row>
    <row r="25">
      <c r="A25" s="15">
        <v>121.0</v>
      </c>
      <c r="B25" s="15">
        <v>407.0</v>
      </c>
      <c r="C25" s="15">
        <v>44.0</v>
      </c>
      <c r="D25" s="15">
        <v>40.0</v>
      </c>
      <c r="E25" s="15">
        <v>66.0</v>
      </c>
      <c r="F25" s="15">
        <v>329.5268</v>
      </c>
      <c r="G25" s="15"/>
      <c r="H25" s="5"/>
      <c r="I25" s="15">
        <v>121.0</v>
      </c>
      <c r="J25" s="15">
        <v>407.0</v>
      </c>
      <c r="K25" s="15">
        <v>44.0</v>
      </c>
      <c r="L25" s="15">
        <v>40.0</v>
      </c>
      <c r="M25" s="15">
        <v>66.0</v>
      </c>
      <c r="N25" s="15">
        <v>36.72576</v>
      </c>
      <c r="O25" s="2"/>
      <c r="P25" s="16" t="b">
        <f t="shared" ref="P25:R25" si="24">C25=K25</f>
        <v>1</v>
      </c>
      <c r="Q25" s="16" t="b">
        <f t="shared" si="24"/>
        <v>1</v>
      </c>
      <c r="R25" s="16" t="b">
        <f t="shared" si="24"/>
        <v>1</v>
      </c>
      <c r="S25" s="17">
        <f t="shared" si="3"/>
        <v>407</v>
      </c>
      <c r="T25" s="18">
        <f t="shared" si="4"/>
        <v>8.972633922</v>
      </c>
      <c r="U25" s="8"/>
      <c r="V25" s="8"/>
      <c r="W25" s="2"/>
      <c r="X25" s="2"/>
      <c r="Y25" s="2"/>
      <c r="Z25" s="2"/>
      <c r="AA25" s="2"/>
      <c r="AB25" s="2"/>
      <c r="AC25" s="2"/>
    </row>
    <row r="26">
      <c r="A26" s="15">
        <v>122.0</v>
      </c>
      <c r="B26" s="15">
        <v>129.0</v>
      </c>
      <c r="C26" s="15">
        <v>44.0</v>
      </c>
      <c r="D26" s="15">
        <v>32.0</v>
      </c>
      <c r="E26" s="15">
        <v>82.0</v>
      </c>
      <c r="F26" s="15">
        <v>104.2223</v>
      </c>
      <c r="G26" s="15"/>
      <c r="H26" s="5"/>
      <c r="I26" s="15">
        <v>122.0</v>
      </c>
      <c r="J26" s="15">
        <v>129.0</v>
      </c>
      <c r="K26" s="15">
        <v>44.0</v>
      </c>
      <c r="L26" s="15">
        <v>32.0</v>
      </c>
      <c r="M26" s="15">
        <v>82.0</v>
      </c>
      <c r="N26" s="15">
        <v>29.67747</v>
      </c>
      <c r="O26" s="2"/>
      <c r="P26" s="16" t="b">
        <f t="shared" ref="P26:R26" si="25">C26=K26</f>
        <v>1</v>
      </c>
      <c r="Q26" s="16" t="b">
        <f t="shared" si="25"/>
        <v>1</v>
      </c>
      <c r="R26" s="16" t="b">
        <f t="shared" si="25"/>
        <v>1</v>
      </c>
      <c r="S26" s="17">
        <f t="shared" si="3"/>
        <v>129</v>
      </c>
      <c r="T26" s="18">
        <f t="shared" si="4"/>
        <v>3.511832377</v>
      </c>
      <c r="U26" s="8"/>
      <c r="V26" s="8"/>
      <c r="W26" s="2"/>
      <c r="X26" s="2"/>
      <c r="Y26" s="2"/>
      <c r="Z26" s="2"/>
      <c r="AA26" s="2"/>
      <c r="AB26" s="2"/>
      <c r="AC26" s="2"/>
    </row>
    <row r="27">
      <c r="A27" s="15">
        <v>123.0</v>
      </c>
      <c r="B27" s="15">
        <v>81.0</v>
      </c>
      <c r="C27" s="15">
        <v>39.0</v>
      </c>
      <c r="D27" s="15">
        <v>21.0</v>
      </c>
      <c r="E27" s="15">
        <v>64.0</v>
      </c>
      <c r="F27" s="15">
        <v>67.212</v>
      </c>
      <c r="G27" s="15"/>
      <c r="H27" s="5"/>
      <c r="I27" s="15">
        <v>123.0</v>
      </c>
      <c r="J27" s="15">
        <v>81.0</v>
      </c>
      <c r="K27" s="15">
        <v>39.0</v>
      </c>
      <c r="L27" s="15">
        <v>21.0</v>
      </c>
      <c r="M27" s="15">
        <v>64.0</v>
      </c>
      <c r="N27" s="15">
        <v>25.96762</v>
      </c>
      <c r="O27" s="2"/>
      <c r="P27" s="16" t="b">
        <f t="shared" ref="P27:R27" si="26">C27=K27</f>
        <v>1</v>
      </c>
      <c r="Q27" s="16" t="b">
        <f t="shared" si="26"/>
        <v>1</v>
      </c>
      <c r="R27" s="16" t="b">
        <f t="shared" si="26"/>
        <v>1</v>
      </c>
      <c r="S27" s="17">
        <f t="shared" si="3"/>
        <v>81</v>
      </c>
      <c r="T27" s="18">
        <f t="shared" si="4"/>
        <v>2.588300353</v>
      </c>
      <c r="U27" s="8"/>
      <c r="V27" s="8"/>
      <c r="W27" s="2"/>
      <c r="X27" s="2"/>
      <c r="Y27" s="2"/>
      <c r="Z27" s="2"/>
      <c r="AA27" s="2"/>
      <c r="AB27" s="2"/>
      <c r="AC27" s="2"/>
    </row>
    <row r="28">
      <c r="A28" s="15">
        <v>124.0</v>
      </c>
      <c r="B28" s="15">
        <v>826.0</v>
      </c>
      <c r="C28" s="15">
        <v>53.0</v>
      </c>
      <c r="D28" s="15">
        <v>157.0</v>
      </c>
      <c r="E28" s="15">
        <v>204.0</v>
      </c>
      <c r="F28" s="15">
        <v>668.8089</v>
      </c>
      <c r="G28" s="15"/>
      <c r="H28" s="5"/>
      <c r="I28" s="15">
        <v>124.0</v>
      </c>
      <c r="J28" s="15">
        <v>826.0</v>
      </c>
      <c r="K28" s="15">
        <v>53.0</v>
      </c>
      <c r="L28" s="15">
        <v>157.0</v>
      </c>
      <c r="M28" s="15">
        <v>204.0</v>
      </c>
      <c r="N28" s="15">
        <v>48.57856</v>
      </c>
      <c r="O28" s="2"/>
      <c r="P28" s="16" t="b">
        <f t="shared" ref="P28:R28" si="27">C28=K28</f>
        <v>1</v>
      </c>
      <c r="Q28" s="16" t="b">
        <f t="shared" si="27"/>
        <v>1</v>
      </c>
      <c r="R28" s="16" t="b">
        <f t="shared" si="27"/>
        <v>1</v>
      </c>
      <c r="S28" s="17">
        <f t="shared" si="3"/>
        <v>826</v>
      </c>
      <c r="T28" s="18">
        <f t="shared" si="4"/>
        <v>13.7675736</v>
      </c>
      <c r="U28" s="8"/>
      <c r="V28" s="8"/>
      <c r="W28" s="2"/>
      <c r="X28" s="2"/>
      <c r="Y28" s="2"/>
      <c r="Z28" s="2"/>
      <c r="AA28" s="2"/>
      <c r="AB28" s="2"/>
      <c r="AC28" s="2"/>
    </row>
    <row r="29">
      <c r="A29" s="15">
        <v>125.0</v>
      </c>
      <c r="B29" s="15">
        <v>45.0</v>
      </c>
      <c r="C29" s="15">
        <v>31.0</v>
      </c>
      <c r="D29" s="15">
        <v>10.0</v>
      </c>
      <c r="E29" s="15">
        <v>40.0</v>
      </c>
      <c r="F29" s="15">
        <v>36.4962</v>
      </c>
      <c r="G29" s="15"/>
      <c r="H29" s="5"/>
      <c r="I29" s="15">
        <v>125.0</v>
      </c>
      <c r="J29" s="15">
        <v>45.0</v>
      </c>
      <c r="K29" s="15">
        <v>31.0</v>
      </c>
      <c r="L29" s="15">
        <v>10.0</v>
      </c>
      <c r="M29" s="15">
        <v>40.0</v>
      </c>
      <c r="N29" s="15">
        <v>20.62775</v>
      </c>
      <c r="O29" s="2"/>
      <c r="P29" s="16" t="b">
        <f t="shared" ref="P29:R29" si="28">C29=K29</f>
        <v>1</v>
      </c>
      <c r="Q29" s="16" t="b">
        <f t="shared" si="28"/>
        <v>1</v>
      </c>
      <c r="R29" s="16" t="b">
        <f t="shared" si="28"/>
        <v>1</v>
      </c>
      <c r="S29" s="17">
        <f t="shared" si="3"/>
        <v>45</v>
      </c>
      <c r="T29" s="18">
        <f t="shared" si="4"/>
        <v>1.769276824</v>
      </c>
      <c r="U29" s="8"/>
      <c r="V29" s="8"/>
      <c r="W29" s="2"/>
      <c r="X29" s="2"/>
      <c r="Y29" s="2"/>
      <c r="Z29" s="2"/>
      <c r="AA29" s="2"/>
      <c r="AB29" s="2"/>
      <c r="AC29" s="2"/>
    </row>
    <row r="30">
      <c r="A30" s="15">
        <v>126.0</v>
      </c>
      <c r="B30" s="15">
        <v>105.0</v>
      </c>
      <c r="C30" s="15">
        <v>44.0</v>
      </c>
      <c r="D30" s="15">
        <v>12.0</v>
      </c>
      <c r="E30" s="15">
        <v>53.0</v>
      </c>
      <c r="F30" s="15">
        <v>84.3129</v>
      </c>
      <c r="G30" s="15"/>
      <c r="H30" s="5"/>
      <c r="I30" s="15">
        <v>126.0</v>
      </c>
      <c r="J30" s="15">
        <v>105.0</v>
      </c>
      <c r="K30" s="15">
        <v>44.0</v>
      </c>
      <c r="L30" s="15">
        <v>12.0</v>
      </c>
      <c r="M30" s="15">
        <v>53.0</v>
      </c>
      <c r="N30" s="15">
        <v>25.01722</v>
      </c>
      <c r="O30" s="2"/>
      <c r="P30" s="16" t="b">
        <f t="shared" ref="P30:R30" si="29">C30=K30</f>
        <v>1</v>
      </c>
      <c r="Q30" s="16" t="b">
        <f t="shared" si="29"/>
        <v>1</v>
      </c>
      <c r="R30" s="16" t="b">
        <f t="shared" si="29"/>
        <v>1</v>
      </c>
      <c r="S30" s="17">
        <f t="shared" si="3"/>
        <v>105</v>
      </c>
      <c r="T30" s="18">
        <f t="shared" si="4"/>
        <v>3.37019461</v>
      </c>
      <c r="U30" s="8"/>
      <c r="V30" s="8"/>
      <c r="W30" s="2"/>
      <c r="X30" s="2"/>
      <c r="Y30" s="2"/>
      <c r="Z30" s="2"/>
      <c r="AA30" s="2"/>
      <c r="AB30" s="2"/>
      <c r="AC30" s="2"/>
    </row>
    <row r="31">
      <c r="A31" s="15">
        <v>127.0</v>
      </c>
      <c r="B31" s="15">
        <v>88.0</v>
      </c>
      <c r="C31" s="15">
        <v>51.0</v>
      </c>
      <c r="D31" s="15">
        <v>26.0</v>
      </c>
      <c r="E31" s="15">
        <v>67.0</v>
      </c>
      <c r="F31" s="15">
        <v>71.6256</v>
      </c>
      <c r="G31" s="15"/>
      <c r="H31" s="5"/>
      <c r="I31" s="15">
        <v>127.0</v>
      </c>
      <c r="J31" s="15">
        <v>88.0</v>
      </c>
      <c r="K31" s="15">
        <v>51.0</v>
      </c>
      <c r="L31" s="15">
        <v>26.0</v>
      </c>
      <c r="M31" s="15">
        <v>67.0</v>
      </c>
      <c r="N31" s="15">
        <v>25.22624</v>
      </c>
      <c r="O31" s="2"/>
      <c r="P31" s="16" t="b">
        <f t="shared" ref="P31:R31" si="30">C31=K31</f>
        <v>1</v>
      </c>
      <c r="Q31" s="16" t="b">
        <f t="shared" si="30"/>
        <v>1</v>
      </c>
      <c r="R31" s="16" t="b">
        <f t="shared" si="30"/>
        <v>1</v>
      </c>
      <c r="S31" s="17">
        <f t="shared" si="3"/>
        <v>88</v>
      </c>
      <c r="T31" s="18">
        <f t="shared" si="4"/>
        <v>2.839329206</v>
      </c>
      <c r="U31" s="8"/>
      <c r="V31" s="8"/>
      <c r="W31" s="2"/>
      <c r="X31" s="2"/>
      <c r="Y31" s="2"/>
      <c r="Z31" s="2"/>
      <c r="AA31" s="2"/>
      <c r="AB31" s="2"/>
      <c r="AC31" s="2"/>
    </row>
    <row r="32">
      <c r="A32" s="15">
        <v>128.0</v>
      </c>
      <c r="B32" s="15">
        <v>79.0</v>
      </c>
      <c r="C32" s="15">
        <v>36.0</v>
      </c>
      <c r="D32" s="15">
        <v>5.0</v>
      </c>
      <c r="E32" s="15">
        <v>23.0</v>
      </c>
      <c r="F32" s="15">
        <v>63.6983</v>
      </c>
      <c r="G32" s="15"/>
      <c r="H32" s="5"/>
      <c r="I32" s="15">
        <v>128.0</v>
      </c>
      <c r="J32" s="15">
        <v>79.0</v>
      </c>
      <c r="K32" s="15">
        <v>36.0</v>
      </c>
      <c r="L32" s="15">
        <v>5.0</v>
      </c>
      <c r="M32" s="15">
        <v>23.0</v>
      </c>
      <c r="N32" s="15">
        <v>21.20003</v>
      </c>
      <c r="O32" s="2"/>
      <c r="P32" s="16" t="b">
        <f t="shared" ref="P32:R32" si="31">C32=K32</f>
        <v>1</v>
      </c>
      <c r="Q32" s="16" t="b">
        <f t="shared" si="31"/>
        <v>1</v>
      </c>
      <c r="R32" s="16" t="b">
        <f t="shared" si="31"/>
        <v>1</v>
      </c>
      <c r="S32" s="17">
        <f t="shared" si="3"/>
        <v>79</v>
      </c>
      <c r="T32" s="18">
        <f t="shared" si="4"/>
        <v>3.004632541</v>
      </c>
      <c r="U32" s="8"/>
      <c r="V32" s="8"/>
      <c r="W32" s="2"/>
      <c r="X32" s="2"/>
      <c r="Y32" s="2"/>
      <c r="Z32" s="2"/>
      <c r="AA32" s="2"/>
      <c r="AB32" s="2"/>
      <c r="AC32" s="2"/>
    </row>
    <row r="33">
      <c r="A33" s="15">
        <v>129.0</v>
      </c>
      <c r="B33" s="15">
        <v>95.0</v>
      </c>
      <c r="C33" s="15">
        <v>33.0</v>
      </c>
      <c r="D33" s="15">
        <v>35.0</v>
      </c>
      <c r="E33" s="15">
        <v>60.0</v>
      </c>
      <c r="F33" s="15">
        <v>76.926</v>
      </c>
      <c r="G33" s="15"/>
      <c r="H33" s="5"/>
      <c r="I33" s="15">
        <v>129.0</v>
      </c>
      <c r="J33" s="15">
        <v>95.0</v>
      </c>
      <c r="K33" s="15">
        <v>33.0</v>
      </c>
      <c r="L33" s="15">
        <v>35.0</v>
      </c>
      <c r="M33" s="15">
        <v>60.0</v>
      </c>
      <c r="N33" s="15">
        <v>22.19725</v>
      </c>
      <c r="O33" s="2"/>
      <c r="P33" s="16" t="b">
        <f t="shared" ref="P33:R33" si="32">C33=K33</f>
        <v>1</v>
      </c>
      <c r="Q33" s="16" t="b">
        <f t="shared" si="32"/>
        <v>1</v>
      </c>
      <c r="R33" s="16" t="b">
        <f t="shared" si="32"/>
        <v>1</v>
      </c>
      <c r="S33" s="17">
        <f t="shared" si="3"/>
        <v>95</v>
      </c>
      <c r="T33" s="18">
        <f t="shared" si="4"/>
        <v>3.465564428</v>
      </c>
      <c r="U33" s="8"/>
      <c r="V33" s="8"/>
      <c r="W33" s="2"/>
      <c r="X33" s="2"/>
      <c r="Y33" s="2"/>
      <c r="Z33" s="2"/>
      <c r="AA33" s="2"/>
      <c r="AB33" s="2"/>
      <c r="AC33" s="2"/>
    </row>
    <row r="34">
      <c r="A34" s="15">
        <v>130.0</v>
      </c>
      <c r="B34" s="15">
        <v>152.0</v>
      </c>
      <c r="C34" s="15">
        <v>37.0</v>
      </c>
      <c r="D34" s="15">
        <v>37.0</v>
      </c>
      <c r="E34" s="15">
        <v>87.0</v>
      </c>
      <c r="F34" s="15">
        <v>122.9104</v>
      </c>
      <c r="G34" s="15"/>
      <c r="H34" s="5"/>
      <c r="I34" s="15">
        <v>130.0</v>
      </c>
      <c r="J34" s="15">
        <v>152.0</v>
      </c>
      <c r="K34" s="15">
        <v>37.0</v>
      </c>
      <c r="L34" s="15">
        <v>37.0</v>
      </c>
      <c r="M34" s="15">
        <v>87.0</v>
      </c>
      <c r="N34" s="15">
        <v>33.45831</v>
      </c>
      <c r="O34" s="2"/>
      <c r="P34" s="16" t="b">
        <f t="shared" ref="P34:R34" si="33">C34=K34</f>
        <v>1</v>
      </c>
      <c r="Q34" s="16" t="b">
        <f t="shared" si="33"/>
        <v>1</v>
      </c>
      <c r="R34" s="16" t="b">
        <f t="shared" si="33"/>
        <v>1</v>
      </c>
      <c r="S34" s="17">
        <f t="shared" si="3"/>
        <v>152</v>
      </c>
      <c r="T34" s="18">
        <f t="shared" si="4"/>
        <v>3.673538801</v>
      </c>
      <c r="U34" s="8"/>
      <c r="V34" s="8"/>
      <c r="W34" s="2"/>
      <c r="X34" s="2"/>
      <c r="Y34" s="2"/>
      <c r="Z34" s="2"/>
      <c r="AA34" s="2"/>
      <c r="AB34" s="2"/>
      <c r="AC34" s="2"/>
    </row>
    <row r="35">
      <c r="A35" s="15">
        <v>131.0</v>
      </c>
      <c r="B35" s="15">
        <v>115.0</v>
      </c>
      <c r="C35" s="15">
        <v>41.0</v>
      </c>
      <c r="D35" s="15">
        <v>23.0</v>
      </c>
      <c r="E35" s="15">
        <v>72.0</v>
      </c>
      <c r="F35" s="15">
        <v>93.7089</v>
      </c>
      <c r="G35" s="15"/>
      <c r="H35" s="5"/>
      <c r="I35" s="15">
        <v>131.0</v>
      </c>
      <c r="J35" s="15">
        <v>115.0</v>
      </c>
      <c r="K35" s="15">
        <v>41.0</v>
      </c>
      <c r="L35" s="15">
        <v>23.0</v>
      </c>
      <c r="M35" s="15">
        <v>72.0</v>
      </c>
      <c r="N35" s="15">
        <v>27.43399</v>
      </c>
      <c r="O35" s="2"/>
      <c r="P35" s="16" t="b">
        <f t="shared" ref="P35:R35" si="34">C35=K35</f>
        <v>1</v>
      </c>
      <c r="Q35" s="16" t="b">
        <f t="shared" si="34"/>
        <v>1</v>
      </c>
      <c r="R35" s="16" t="b">
        <f t="shared" si="34"/>
        <v>1</v>
      </c>
      <c r="S35" s="17">
        <f t="shared" si="3"/>
        <v>115</v>
      </c>
      <c r="T35" s="18">
        <f t="shared" si="4"/>
        <v>3.415795515</v>
      </c>
      <c r="U35" s="8"/>
      <c r="V35" s="8"/>
      <c r="W35" s="2"/>
      <c r="X35" s="2"/>
      <c r="Y35" s="2"/>
      <c r="Z35" s="2"/>
      <c r="AA35" s="2"/>
      <c r="AB35" s="2"/>
      <c r="AC35" s="2"/>
    </row>
    <row r="36">
      <c r="A36" s="15">
        <v>132.0</v>
      </c>
      <c r="B36" s="15">
        <v>92.0</v>
      </c>
      <c r="C36" s="15">
        <v>34.0</v>
      </c>
      <c r="D36" s="15">
        <v>6.0</v>
      </c>
      <c r="E36" s="15">
        <v>25.0</v>
      </c>
      <c r="F36" s="15">
        <v>73.7544</v>
      </c>
      <c r="G36" s="15"/>
      <c r="H36" s="5"/>
      <c r="I36" s="15">
        <v>132.0</v>
      </c>
      <c r="J36" s="15">
        <v>92.0</v>
      </c>
      <c r="K36" s="15">
        <v>34.0</v>
      </c>
      <c r="L36" s="15">
        <v>6.0</v>
      </c>
      <c r="M36" s="15">
        <v>25.0</v>
      </c>
      <c r="N36" s="15">
        <v>20.43296</v>
      </c>
      <c r="O36" s="2"/>
      <c r="P36" s="16" t="b">
        <f t="shared" ref="P36:R36" si="35">C36=K36</f>
        <v>1</v>
      </c>
      <c r="Q36" s="16" t="b">
        <f t="shared" si="35"/>
        <v>1</v>
      </c>
      <c r="R36" s="16" t="b">
        <f t="shared" si="35"/>
        <v>1</v>
      </c>
      <c r="S36" s="17">
        <f t="shared" si="3"/>
        <v>92</v>
      </c>
      <c r="T36" s="18">
        <f t="shared" si="4"/>
        <v>3.609579816</v>
      </c>
      <c r="U36" s="8"/>
      <c r="V36" s="8"/>
      <c r="W36" s="2"/>
      <c r="X36" s="2"/>
      <c r="Y36" s="2"/>
      <c r="Z36" s="2"/>
      <c r="AA36" s="2"/>
      <c r="AB36" s="2"/>
      <c r="AC36" s="2"/>
    </row>
    <row r="37">
      <c r="A37" s="15">
        <v>133.0</v>
      </c>
      <c r="B37" s="15">
        <v>88.0</v>
      </c>
      <c r="C37" s="15">
        <v>47.0</v>
      </c>
      <c r="D37" s="15">
        <v>27.0</v>
      </c>
      <c r="E37" s="15">
        <v>70.0</v>
      </c>
      <c r="F37" s="15">
        <v>71.4651</v>
      </c>
      <c r="G37" s="15"/>
      <c r="H37" s="5"/>
      <c r="I37" s="15">
        <v>133.0</v>
      </c>
      <c r="J37" s="15">
        <v>88.0</v>
      </c>
      <c r="K37" s="15">
        <v>47.0</v>
      </c>
      <c r="L37" s="15">
        <v>27.0</v>
      </c>
      <c r="M37" s="15">
        <v>70.0</v>
      </c>
      <c r="N37" s="15">
        <v>25.97565</v>
      </c>
      <c r="O37" s="2"/>
      <c r="P37" s="16" t="b">
        <f t="shared" ref="P37:R37" si="36">C37=K37</f>
        <v>1</v>
      </c>
      <c r="Q37" s="16" t="b">
        <f t="shared" si="36"/>
        <v>1</v>
      </c>
      <c r="R37" s="16" t="b">
        <f t="shared" si="36"/>
        <v>1</v>
      </c>
      <c r="S37" s="17">
        <f t="shared" si="3"/>
        <v>88</v>
      </c>
      <c r="T37" s="18">
        <f t="shared" si="4"/>
        <v>2.751234329</v>
      </c>
      <c r="U37" s="8"/>
      <c r="V37" s="8"/>
      <c r="W37" s="2"/>
      <c r="X37" s="2"/>
      <c r="Y37" s="2"/>
      <c r="Z37" s="2"/>
      <c r="AA37" s="2"/>
      <c r="AB37" s="2"/>
      <c r="AC37" s="2"/>
    </row>
    <row r="38">
      <c r="A38" s="15">
        <v>134.0</v>
      </c>
      <c r="B38" s="15">
        <v>365.0</v>
      </c>
      <c r="C38" s="15">
        <v>47.0</v>
      </c>
      <c r="D38" s="15">
        <v>66.0</v>
      </c>
      <c r="E38" s="15">
        <v>101.0</v>
      </c>
      <c r="F38" s="15">
        <v>294.1085</v>
      </c>
      <c r="G38" s="15"/>
      <c r="H38" s="5"/>
      <c r="I38" s="15">
        <v>134.0</v>
      </c>
      <c r="J38" s="15">
        <v>365.0</v>
      </c>
      <c r="K38" s="15">
        <v>47.0</v>
      </c>
      <c r="L38" s="15">
        <v>66.0</v>
      </c>
      <c r="M38" s="15">
        <v>101.0</v>
      </c>
      <c r="N38" s="15">
        <v>31.85971</v>
      </c>
      <c r="O38" s="2"/>
      <c r="P38" s="16" t="b">
        <f t="shared" ref="P38:R38" si="37">C38=K38</f>
        <v>1</v>
      </c>
      <c r="Q38" s="16" t="b">
        <f t="shared" si="37"/>
        <v>1</v>
      </c>
      <c r="R38" s="16" t="b">
        <f t="shared" si="37"/>
        <v>1</v>
      </c>
      <c r="S38" s="17">
        <f t="shared" si="3"/>
        <v>365</v>
      </c>
      <c r="T38" s="18">
        <f t="shared" si="4"/>
        <v>9.231361491</v>
      </c>
      <c r="U38" s="8"/>
      <c r="V38" s="8"/>
      <c r="W38" s="2"/>
      <c r="X38" s="2"/>
      <c r="Y38" s="2"/>
      <c r="Z38" s="2"/>
      <c r="AA38" s="2"/>
      <c r="AB38" s="2"/>
      <c r="AC38" s="2"/>
    </row>
    <row r="39">
      <c r="A39" s="15">
        <v>135.0</v>
      </c>
      <c r="B39" s="15">
        <v>459.0</v>
      </c>
      <c r="C39" s="15">
        <v>44.0</v>
      </c>
      <c r="D39" s="15">
        <v>268.0</v>
      </c>
      <c r="E39" s="15">
        <v>309.0</v>
      </c>
      <c r="F39" s="15">
        <v>369.4924</v>
      </c>
      <c r="G39" s="15"/>
      <c r="H39" s="5"/>
      <c r="I39" s="15">
        <v>135.0</v>
      </c>
      <c r="J39" s="15">
        <v>459.0</v>
      </c>
      <c r="K39" s="15">
        <v>44.0</v>
      </c>
      <c r="L39" s="15">
        <v>268.0</v>
      </c>
      <c r="M39" s="15">
        <v>309.0</v>
      </c>
      <c r="N39" s="15">
        <v>35.07485</v>
      </c>
      <c r="O39" s="2"/>
      <c r="P39" s="16" t="b">
        <f t="shared" ref="P39:R39" si="38">C39=K39</f>
        <v>1</v>
      </c>
      <c r="Q39" s="16" t="b">
        <f t="shared" si="38"/>
        <v>1</v>
      </c>
      <c r="R39" s="16" t="b">
        <f t="shared" si="38"/>
        <v>1</v>
      </c>
      <c r="S39" s="17">
        <f t="shared" si="3"/>
        <v>459</v>
      </c>
      <c r="T39" s="18">
        <f t="shared" si="4"/>
        <v>10.53439715</v>
      </c>
      <c r="U39" s="8"/>
      <c r="V39" s="8"/>
      <c r="W39" s="2"/>
      <c r="X39" s="2"/>
      <c r="Y39" s="2"/>
      <c r="Z39" s="2"/>
      <c r="AA39" s="2"/>
      <c r="AB39" s="2"/>
      <c r="AC39" s="2"/>
    </row>
    <row r="40">
      <c r="A40" s="15">
        <v>136.0</v>
      </c>
      <c r="B40" s="15">
        <v>344.0</v>
      </c>
      <c r="C40" s="15">
        <v>63.0</v>
      </c>
      <c r="D40" s="15">
        <v>31.0</v>
      </c>
      <c r="E40" s="15">
        <v>80.0</v>
      </c>
      <c r="F40" s="15">
        <v>276.3047</v>
      </c>
      <c r="G40" s="15"/>
      <c r="H40" s="5"/>
      <c r="I40" s="15">
        <v>136.0</v>
      </c>
      <c r="J40" s="15">
        <v>344.0</v>
      </c>
      <c r="K40" s="15">
        <v>63.0</v>
      </c>
      <c r="L40" s="15">
        <v>31.0</v>
      </c>
      <c r="M40" s="15">
        <v>80.0</v>
      </c>
      <c r="N40" s="15">
        <v>33.40698</v>
      </c>
      <c r="O40" s="2"/>
      <c r="P40" s="16" t="b">
        <f t="shared" ref="P40:R40" si="39">C40=K40</f>
        <v>1</v>
      </c>
      <c r="Q40" s="16" t="b">
        <f t="shared" si="39"/>
        <v>1</v>
      </c>
      <c r="R40" s="16" t="b">
        <f t="shared" si="39"/>
        <v>1</v>
      </c>
      <c r="S40" s="17">
        <f t="shared" si="3"/>
        <v>344</v>
      </c>
      <c r="T40" s="18">
        <f t="shared" si="4"/>
        <v>8.270867346</v>
      </c>
      <c r="U40" s="8"/>
      <c r="V40" s="8"/>
      <c r="W40" s="2"/>
      <c r="X40" s="2"/>
      <c r="Y40" s="2"/>
      <c r="Z40" s="2"/>
      <c r="AA40" s="2"/>
      <c r="AB40" s="2"/>
      <c r="AC40" s="2"/>
    </row>
    <row r="41">
      <c r="A41" s="15">
        <v>137.0</v>
      </c>
      <c r="B41" s="15">
        <v>119.0</v>
      </c>
      <c r="C41" s="15">
        <v>40.0</v>
      </c>
      <c r="D41" s="15">
        <v>87.0</v>
      </c>
      <c r="E41" s="15">
        <v>118.0</v>
      </c>
      <c r="F41" s="15">
        <v>95.9208</v>
      </c>
      <c r="G41" s="15"/>
      <c r="H41" s="5"/>
      <c r="I41" s="15">
        <v>137.0</v>
      </c>
      <c r="J41" s="15">
        <v>119.0</v>
      </c>
      <c r="K41" s="15">
        <v>40.0</v>
      </c>
      <c r="L41" s="15">
        <v>87.0</v>
      </c>
      <c r="M41" s="15">
        <v>118.0</v>
      </c>
      <c r="N41" s="15">
        <v>23.68717</v>
      </c>
      <c r="O41" s="2"/>
      <c r="P41" s="16" t="b">
        <f t="shared" ref="P41:R41" si="40">C41=K41</f>
        <v>1</v>
      </c>
      <c r="Q41" s="16" t="b">
        <f t="shared" si="40"/>
        <v>1</v>
      </c>
      <c r="R41" s="16" t="b">
        <f t="shared" si="40"/>
        <v>1</v>
      </c>
      <c r="S41" s="17">
        <f t="shared" si="3"/>
        <v>119</v>
      </c>
      <c r="T41" s="18">
        <f t="shared" si="4"/>
        <v>4.049483328</v>
      </c>
      <c r="U41" s="8"/>
      <c r="V41" s="8"/>
      <c r="W41" s="2"/>
      <c r="X41" s="2"/>
      <c r="Y41" s="2"/>
      <c r="Z41" s="2"/>
      <c r="AA41" s="2"/>
      <c r="AB41" s="2"/>
      <c r="AC41" s="2"/>
    </row>
    <row r="42">
      <c r="A42" s="15">
        <v>138.0</v>
      </c>
      <c r="B42" s="15">
        <v>401.0</v>
      </c>
      <c r="C42" s="15">
        <v>44.0</v>
      </c>
      <c r="D42" s="15">
        <v>307.0</v>
      </c>
      <c r="E42" s="15">
        <v>344.0</v>
      </c>
      <c r="F42" s="15">
        <v>323.975</v>
      </c>
      <c r="G42" s="15"/>
      <c r="H42" s="5"/>
      <c r="I42" s="15">
        <v>138.0</v>
      </c>
      <c r="J42" s="15">
        <v>401.0</v>
      </c>
      <c r="K42" s="15">
        <v>44.0</v>
      </c>
      <c r="L42" s="15">
        <v>307.0</v>
      </c>
      <c r="M42" s="15">
        <v>344.0</v>
      </c>
      <c r="N42" s="15">
        <v>34.09203</v>
      </c>
      <c r="O42" s="2"/>
      <c r="P42" s="16" t="b">
        <f t="shared" ref="P42:R42" si="41">C42=K42</f>
        <v>1</v>
      </c>
      <c r="Q42" s="16" t="b">
        <f t="shared" si="41"/>
        <v>1</v>
      </c>
      <c r="R42" s="16" t="b">
        <f t="shared" si="41"/>
        <v>1</v>
      </c>
      <c r="S42" s="17">
        <f t="shared" si="3"/>
        <v>401</v>
      </c>
      <c r="T42" s="18">
        <f t="shared" si="4"/>
        <v>9.50295421</v>
      </c>
      <c r="U42" s="8"/>
      <c r="V42" s="8"/>
      <c r="W42" s="2"/>
      <c r="X42" s="2"/>
      <c r="Y42" s="2"/>
      <c r="Z42" s="2"/>
      <c r="AA42" s="2"/>
      <c r="AB42" s="2"/>
      <c r="AC42" s="2"/>
    </row>
    <row r="43">
      <c r="A43" s="15">
        <v>139.0</v>
      </c>
      <c r="B43" s="15">
        <v>106.0</v>
      </c>
      <c r="C43" s="15">
        <v>41.0</v>
      </c>
      <c r="D43" s="15">
        <v>4.0</v>
      </c>
      <c r="E43" s="15">
        <v>36.0</v>
      </c>
      <c r="F43" s="15">
        <v>84.8863</v>
      </c>
      <c r="G43" s="15"/>
      <c r="H43" s="5"/>
      <c r="I43" s="15">
        <v>139.0</v>
      </c>
      <c r="J43" s="15">
        <v>106.0</v>
      </c>
      <c r="K43" s="15">
        <v>41.0</v>
      </c>
      <c r="L43" s="15">
        <v>4.0</v>
      </c>
      <c r="M43" s="15">
        <v>36.0</v>
      </c>
      <c r="N43" s="15">
        <v>23.39942</v>
      </c>
      <c r="O43" s="2"/>
      <c r="P43" s="16" t="b">
        <f t="shared" ref="P43:R43" si="42">C43=K43</f>
        <v>1</v>
      </c>
      <c r="Q43" s="16" t="b">
        <f t="shared" si="42"/>
        <v>1</v>
      </c>
      <c r="R43" s="16" t="b">
        <f t="shared" si="42"/>
        <v>1</v>
      </c>
      <c r="S43" s="17">
        <f t="shared" si="3"/>
        <v>106</v>
      </c>
      <c r="T43" s="18">
        <f t="shared" si="4"/>
        <v>3.627709576</v>
      </c>
      <c r="U43" s="8"/>
      <c r="V43" s="8"/>
      <c r="W43" s="2"/>
      <c r="X43" s="2"/>
      <c r="Y43" s="2"/>
      <c r="Z43" s="2"/>
      <c r="AA43" s="2"/>
      <c r="AB43" s="2"/>
      <c r="AC43" s="2"/>
    </row>
    <row r="44">
      <c r="A44" s="15">
        <v>140.0</v>
      </c>
      <c r="B44" s="15">
        <v>417.0</v>
      </c>
      <c r="C44" s="15">
        <v>56.0</v>
      </c>
      <c r="D44" s="15">
        <v>341.0</v>
      </c>
      <c r="E44" s="15">
        <v>384.0</v>
      </c>
      <c r="F44" s="15">
        <v>333.8786</v>
      </c>
      <c r="G44" s="15"/>
      <c r="H44" s="5"/>
      <c r="I44" s="15">
        <v>140.0</v>
      </c>
      <c r="J44" s="15">
        <v>417.0</v>
      </c>
      <c r="K44" s="15">
        <v>56.0</v>
      </c>
      <c r="L44" s="15">
        <v>341.0</v>
      </c>
      <c r="M44" s="15">
        <v>384.0</v>
      </c>
      <c r="N44" s="15">
        <v>36.07136</v>
      </c>
      <c r="O44" s="2"/>
      <c r="P44" s="16" t="b">
        <f t="shared" ref="P44:R44" si="43">C44=K44</f>
        <v>1</v>
      </c>
      <c r="Q44" s="16" t="b">
        <f t="shared" si="43"/>
        <v>1</v>
      </c>
      <c r="R44" s="16" t="b">
        <f t="shared" si="43"/>
        <v>1</v>
      </c>
      <c r="S44" s="17">
        <f t="shared" si="3"/>
        <v>417</v>
      </c>
      <c r="T44" s="18">
        <f t="shared" si="4"/>
        <v>9.256057992</v>
      </c>
      <c r="U44" s="8"/>
      <c r="V44" s="8"/>
      <c r="W44" s="2"/>
      <c r="X44" s="2"/>
      <c r="Y44" s="2"/>
      <c r="Z44" s="2"/>
      <c r="AA44" s="2"/>
      <c r="AB44" s="2"/>
      <c r="AC44" s="2"/>
    </row>
    <row r="45">
      <c r="A45" s="15">
        <v>141.0</v>
      </c>
      <c r="B45" s="15">
        <v>623.0</v>
      </c>
      <c r="C45" s="15">
        <v>41.0</v>
      </c>
      <c r="D45" s="15">
        <v>391.0</v>
      </c>
      <c r="E45" s="15">
        <v>441.0</v>
      </c>
      <c r="F45" s="15">
        <v>506.7518</v>
      </c>
      <c r="G45" s="15"/>
      <c r="H45" s="5"/>
      <c r="I45" s="15">
        <v>141.0</v>
      </c>
      <c r="J45" s="15">
        <v>623.0</v>
      </c>
      <c r="K45" s="15">
        <v>41.0</v>
      </c>
      <c r="L45" s="15">
        <v>391.0</v>
      </c>
      <c r="M45" s="15">
        <v>441.0</v>
      </c>
      <c r="N45" s="15">
        <v>41.52115</v>
      </c>
      <c r="O45" s="2"/>
      <c r="P45" s="16" t="b">
        <f t="shared" ref="P45:R45" si="44">C45=K45</f>
        <v>1</v>
      </c>
      <c r="Q45" s="16" t="b">
        <f t="shared" si="44"/>
        <v>1</v>
      </c>
      <c r="R45" s="16" t="b">
        <f t="shared" si="44"/>
        <v>1</v>
      </c>
      <c r="S45" s="17">
        <f t="shared" si="3"/>
        <v>623</v>
      </c>
      <c r="T45" s="18">
        <f t="shared" si="4"/>
        <v>12.20466678</v>
      </c>
      <c r="U45" s="8"/>
      <c r="V45" s="8"/>
      <c r="W45" s="2"/>
      <c r="X45" s="2"/>
      <c r="Y45" s="2"/>
      <c r="Z45" s="2"/>
      <c r="AA45" s="2"/>
      <c r="AB45" s="2"/>
      <c r="AC45" s="2"/>
    </row>
    <row r="46">
      <c r="A46" s="15">
        <v>142.0</v>
      </c>
      <c r="B46" s="15">
        <v>127.0</v>
      </c>
      <c r="C46" s="15">
        <v>38.0</v>
      </c>
      <c r="D46" s="15">
        <v>78.0</v>
      </c>
      <c r="E46" s="15">
        <v>126.0</v>
      </c>
      <c r="F46" s="15">
        <v>102.7398</v>
      </c>
      <c r="G46" s="15"/>
      <c r="H46" s="5"/>
      <c r="I46" s="15">
        <v>142.0</v>
      </c>
      <c r="J46" s="15">
        <v>127.0</v>
      </c>
      <c r="K46" s="15">
        <v>38.0</v>
      </c>
      <c r="L46" s="15">
        <v>78.0</v>
      </c>
      <c r="M46" s="15">
        <v>126.0</v>
      </c>
      <c r="N46" s="15">
        <v>28.3761</v>
      </c>
      <c r="O46" s="2"/>
      <c r="P46" s="16" t="b">
        <f t="shared" ref="P46:R46" si="45">C46=K46</f>
        <v>1</v>
      </c>
      <c r="Q46" s="16" t="b">
        <f t="shared" si="45"/>
        <v>1</v>
      </c>
      <c r="R46" s="16" t="b">
        <f t="shared" si="45"/>
        <v>1</v>
      </c>
      <c r="S46" s="17">
        <f t="shared" si="3"/>
        <v>127</v>
      </c>
      <c r="T46" s="18">
        <f t="shared" si="4"/>
        <v>3.620645543</v>
      </c>
      <c r="U46" s="8"/>
      <c r="V46" s="8"/>
      <c r="W46" s="2"/>
      <c r="X46" s="2"/>
      <c r="Y46" s="2"/>
      <c r="Z46" s="2"/>
      <c r="AA46" s="2"/>
      <c r="AB46" s="2"/>
      <c r="AC46" s="2"/>
    </row>
    <row r="47">
      <c r="A47" s="15">
        <v>143.0</v>
      </c>
      <c r="B47" s="15">
        <v>1647.0</v>
      </c>
      <c r="C47" s="15">
        <v>43.0</v>
      </c>
      <c r="D47" s="15">
        <v>1245.0</v>
      </c>
      <c r="E47" s="15">
        <v>1276.0</v>
      </c>
      <c r="F47" s="15">
        <v>1359.652</v>
      </c>
      <c r="G47" s="15"/>
      <c r="H47" s="5"/>
      <c r="I47" s="15">
        <v>143.0</v>
      </c>
      <c r="J47" s="15">
        <v>1647.0</v>
      </c>
      <c r="K47" s="15">
        <v>43.0</v>
      </c>
      <c r="L47" s="15">
        <v>1245.0</v>
      </c>
      <c r="M47" s="15">
        <v>1276.0</v>
      </c>
      <c r="N47" s="15">
        <v>63.47689</v>
      </c>
      <c r="O47" s="2"/>
      <c r="P47" s="16" t="b">
        <f t="shared" ref="P47:R47" si="46">C47=K47</f>
        <v>1</v>
      </c>
      <c r="Q47" s="16" t="b">
        <f t="shared" si="46"/>
        <v>1</v>
      </c>
      <c r="R47" s="16" t="b">
        <f t="shared" si="46"/>
        <v>1</v>
      </c>
      <c r="S47" s="17">
        <f t="shared" si="3"/>
        <v>1647</v>
      </c>
      <c r="T47" s="18">
        <f t="shared" si="4"/>
        <v>21.41963792</v>
      </c>
      <c r="U47" s="8"/>
      <c r="V47" s="8"/>
      <c r="W47" s="2"/>
      <c r="X47" s="2"/>
      <c r="Y47" s="2"/>
      <c r="Z47" s="2"/>
      <c r="AA47" s="2"/>
      <c r="AB47" s="2"/>
      <c r="AC47" s="2"/>
    </row>
    <row r="48">
      <c r="A48" s="15">
        <v>144.0</v>
      </c>
      <c r="B48" s="15">
        <v>83.0</v>
      </c>
      <c r="C48" s="15">
        <v>50.0</v>
      </c>
      <c r="D48" s="15">
        <v>18.0</v>
      </c>
      <c r="E48" s="15">
        <v>57.0</v>
      </c>
      <c r="F48" s="15">
        <v>67.218</v>
      </c>
      <c r="G48" s="15"/>
      <c r="H48" s="5"/>
      <c r="I48" s="15">
        <v>144.0</v>
      </c>
      <c r="J48" s="15">
        <v>83.0</v>
      </c>
      <c r="K48" s="15">
        <v>50.0</v>
      </c>
      <c r="L48" s="15">
        <v>18.0</v>
      </c>
      <c r="M48" s="15">
        <v>57.0</v>
      </c>
      <c r="N48" s="15">
        <v>24.86406</v>
      </c>
      <c r="O48" s="2"/>
      <c r="P48" s="16" t="b">
        <f t="shared" ref="P48:R48" si="47">C48=K48</f>
        <v>1</v>
      </c>
      <c r="Q48" s="16" t="b">
        <f t="shared" si="47"/>
        <v>1</v>
      </c>
      <c r="R48" s="16" t="b">
        <f t="shared" si="47"/>
        <v>1</v>
      </c>
      <c r="S48" s="17">
        <f t="shared" si="3"/>
        <v>83</v>
      </c>
      <c r="T48" s="18">
        <f t="shared" si="4"/>
        <v>2.703420117</v>
      </c>
      <c r="U48" s="8"/>
      <c r="V48" s="8"/>
      <c r="W48" s="2"/>
      <c r="X48" s="2"/>
      <c r="Y48" s="2"/>
      <c r="Z48" s="2"/>
      <c r="AA48" s="2"/>
      <c r="AB48" s="2"/>
      <c r="AC48" s="2"/>
    </row>
    <row r="49">
      <c r="A49" s="15">
        <v>145.0</v>
      </c>
      <c r="B49" s="15">
        <v>617.0</v>
      </c>
      <c r="C49" s="15">
        <v>50.0</v>
      </c>
      <c r="D49" s="15">
        <v>62.0</v>
      </c>
      <c r="E49" s="15">
        <v>109.0</v>
      </c>
      <c r="F49" s="15">
        <v>493.9189</v>
      </c>
      <c r="G49" s="15"/>
      <c r="H49" s="5"/>
      <c r="I49" s="15">
        <v>145.0</v>
      </c>
      <c r="J49" s="15">
        <v>617.0</v>
      </c>
      <c r="K49" s="15">
        <v>50.0</v>
      </c>
      <c r="L49" s="15">
        <v>62.0</v>
      </c>
      <c r="M49" s="15">
        <v>109.0</v>
      </c>
      <c r="N49" s="15">
        <v>41.10237</v>
      </c>
      <c r="O49" s="2"/>
      <c r="P49" s="16" t="b">
        <f t="shared" ref="P49:R49" si="48">C49=K49</f>
        <v>1</v>
      </c>
      <c r="Q49" s="16" t="b">
        <f t="shared" si="48"/>
        <v>1</v>
      </c>
      <c r="R49" s="16" t="b">
        <f t="shared" si="48"/>
        <v>1</v>
      </c>
      <c r="S49" s="17">
        <f t="shared" si="3"/>
        <v>617</v>
      </c>
      <c r="T49" s="18">
        <f t="shared" si="4"/>
        <v>12.01679854</v>
      </c>
      <c r="U49" s="8"/>
      <c r="V49" s="8"/>
      <c r="W49" s="2"/>
      <c r="X49" s="2"/>
      <c r="Y49" s="2"/>
      <c r="Z49" s="2"/>
      <c r="AA49" s="2"/>
      <c r="AB49" s="2"/>
      <c r="AC49" s="2"/>
    </row>
    <row r="50">
      <c r="A50" s="15">
        <v>146.0</v>
      </c>
      <c r="B50" s="15">
        <v>790.0</v>
      </c>
      <c r="C50" s="15">
        <v>45.0</v>
      </c>
      <c r="D50" s="15">
        <v>340.0</v>
      </c>
      <c r="E50" s="15">
        <v>374.0</v>
      </c>
      <c r="F50" s="15">
        <v>641.9526</v>
      </c>
      <c r="G50" s="15"/>
      <c r="H50" s="5"/>
      <c r="I50" s="15">
        <v>146.0</v>
      </c>
      <c r="J50" s="15">
        <v>790.0</v>
      </c>
      <c r="K50" s="15">
        <v>45.0</v>
      </c>
      <c r="L50" s="15">
        <v>340.0</v>
      </c>
      <c r="M50" s="15">
        <v>374.0</v>
      </c>
      <c r="N50" s="15">
        <v>45.75539</v>
      </c>
      <c r="O50" s="2"/>
      <c r="P50" s="16" t="b">
        <f t="shared" ref="P50:R50" si="49">C50=K50</f>
        <v>1</v>
      </c>
      <c r="Q50" s="16" t="b">
        <f t="shared" si="49"/>
        <v>1</v>
      </c>
      <c r="R50" s="16" t="b">
        <f t="shared" si="49"/>
        <v>1</v>
      </c>
      <c r="S50" s="17">
        <f t="shared" si="3"/>
        <v>790</v>
      </c>
      <c r="T50" s="18">
        <f t="shared" si="4"/>
        <v>14.03009787</v>
      </c>
      <c r="U50" s="8"/>
      <c r="V50" s="8"/>
      <c r="W50" s="2"/>
      <c r="X50" s="2"/>
      <c r="Y50" s="2"/>
      <c r="Z50" s="2"/>
      <c r="AA50" s="2"/>
      <c r="AB50" s="2"/>
      <c r="AC50" s="2"/>
    </row>
    <row r="51">
      <c r="A51" s="15">
        <v>147.0</v>
      </c>
      <c r="B51" s="15">
        <v>144.0</v>
      </c>
      <c r="C51" s="15">
        <v>34.0</v>
      </c>
      <c r="D51" s="15">
        <v>72.0</v>
      </c>
      <c r="E51" s="15">
        <v>111.0</v>
      </c>
      <c r="F51" s="15">
        <v>115.9103</v>
      </c>
      <c r="G51" s="15"/>
      <c r="H51" s="5"/>
      <c r="I51" s="15">
        <v>147.0</v>
      </c>
      <c r="J51" s="15">
        <v>144.0</v>
      </c>
      <c r="K51" s="15">
        <v>34.0</v>
      </c>
      <c r="L51" s="15">
        <v>72.0</v>
      </c>
      <c r="M51" s="15">
        <v>111.0</v>
      </c>
      <c r="N51" s="15">
        <v>28.03296</v>
      </c>
      <c r="O51" s="2"/>
      <c r="P51" s="16" t="b">
        <f t="shared" ref="P51:R51" si="50">C51=K51</f>
        <v>1</v>
      </c>
      <c r="Q51" s="16" t="b">
        <f t="shared" si="50"/>
        <v>1</v>
      </c>
      <c r="R51" s="16" t="b">
        <f t="shared" si="50"/>
        <v>1</v>
      </c>
      <c r="S51" s="17">
        <f t="shared" si="3"/>
        <v>144</v>
      </c>
      <c r="T51" s="18">
        <f t="shared" si="4"/>
        <v>4.134786337</v>
      </c>
      <c r="U51" s="8"/>
      <c r="V51" s="8"/>
      <c r="W51" s="2"/>
      <c r="X51" s="2"/>
      <c r="Y51" s="2"/>
      <c r="Z51" s="2"/>
      <c r="AA51" s="2"/>
      <c r="AB51" s="2"/>
      <c r="AC51" s="2"/>
    </row>
    <row r="52">
      <c r="A52" s="15">
        <v>148.0</v>
      </c>
      <c r="B52" s="15">
        <v>870.0</v>
      </c>
      <c r="C52" s="15">
        <v>47.0</v>
      </c>
      <c r="D52" s="15">
        <v>120.0</v>
      </c>
      <c r="E52" s="15">
        <v>147.0</v>
      </c>
      <c r="F52" s="15">
        <v>703.4247</v>
      </c>
      <c r="G52" s="15"/>
      <c r="H52" s="5"/>
      <c r="I52" s="15">
        <v>148.0</v>
      </c>
      <c r="J52" s="15">
        <v>870.0</v>
      </c>
      <c r="K52" s="15">
        <v>47.0</v>
      </c>
      <c r="L52" s="15">
        <v>120.0</v>
      </c>
      <c r="M52" s="15">
        <v>147.0</v>
      </c>
      <c r="N52" s="15">
        <v>41.08288</v>
      </c>
      <c r="O52" s="2"/>
      <c r="P52" s="16" t="b">
        <f t="shared" ref="P52:R52" si="51">C52=K52</f>
        <v>1</v>
      </c>
      <c r="Q52" s="16" t="b">
        <f t="shared" si="51"/>
        <v>1</v>
      </c>
      <c r="R52" s="16" t="b">
        <f t="shared" si="51"/>
        <v>1</v>
      </c>
      <c r="S52" s="17">
        <f t="shared" si="3"/>
        <v>870</v>
      </c>
      <c r="T52" s="18">
        <f t="shared" si="4"/>
        <v>17.12208832</v>
      </c>
      <c r="U52" s="8"/>
      <c r="V52" s="8"/>
      <c r="W52" s="2"/>
      <c r="X52" s="2"/>
      <c r="Y52" s="2"/>
      <c r="Z52" s="2"/>
      <c r="AA52" s="2"/>
      <c r="AB52" s="2"/>
      <c r="AC52" s="2"/>
    </row>
    <row r="53">
      <c r="A53" s="15">
        <v>149.0</v>
      </c>
      <c r="B53" s="15">
        <v>892.0</v>
      </c>
      <c r="C53" s="15">
        <v>51.0</v>
      </c>
      <c r="D53" s="15">
        <v>336.0</v>
      </c>
      <c r="E53" s="15">
        <v>390.0</v>
      </c>
      <c r="F53" s="15">
        <v>716.6966</v>
      </c>
      <c r="G53" s="15"/>
      <c r="H53" s="5"/>
      <c r="I53" s="15">
        <v>149.0</v>
      </c>
      <c r="J53" s="15">
        <v>892.0</v>
      </c>
      <c r="K53" s="15">
        <v>51.0</v>
      </c>
      <c r="L53" s="15">
        <v>336.0</v>
      </c>
      <c r="M53" s="15">
        <v>390.0</v>
      </c>
      <c r="N53" s="15">
        <v>50.15654</v>
      </c>
      <c r="O53" s="2"/>
      <c r="P53" s="16" t="b">
        <f t="shared" ref="P53:R53" si="52">C53=K53</f>
        <v>1</v>
      </c>
      <c r="Q53" s="16" t="b">
        <f t="shared" si="52"/>
        <v>1</v>
      </c>
      <c r="R53" s="16" t="b">
        <f t="shared" si="52"/>
        <v>1</v>
      </c>
      <c r="S53" s="17">
        <f t="shared" si="3"/>
        <v>892</v>
      </c>
      <c r="T53" s="18">
        <f t="shared" si="4"/>
        <v>14.28919539</v>
      </c>
      <c r="U53" s="8"/>
      <c r="V53" s="8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5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5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5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5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5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5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5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5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5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5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5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5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5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5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5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5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5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5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5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5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5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5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5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5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5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5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5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5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5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5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5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5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5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5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5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5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5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5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5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5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5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5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5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5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5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5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5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5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5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5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5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5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5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5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5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5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5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5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5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5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5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5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5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5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5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5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5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5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5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5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5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5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5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5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5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5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5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5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5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5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5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5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5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5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5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5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5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5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5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5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5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5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5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5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5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5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5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5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5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5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5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5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5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5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5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5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5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5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5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5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5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5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5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5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5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5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5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5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5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5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5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5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5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5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5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5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5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5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5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5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5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5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5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5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5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5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5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5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5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5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5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5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5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5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5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5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5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5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5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5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5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5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5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5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5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5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5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5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5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5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5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5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5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5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5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5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5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5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5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5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5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5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5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5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5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5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5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5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5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5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5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5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5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5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5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5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5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5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5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5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5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5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5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5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5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5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5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5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5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5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5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5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5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5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5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5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5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5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5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5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5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5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5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5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5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5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5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5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5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5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5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5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5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5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5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5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5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5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5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5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5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5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5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5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5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5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5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5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5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5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5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5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5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5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5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5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5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5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5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5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5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5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5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5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5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5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5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5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5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5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5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5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5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5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5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5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5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5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5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5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5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5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5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5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5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5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5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5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5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5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5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5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5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5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5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5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5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5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5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5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5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5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5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5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5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5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5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5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5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5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5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5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5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5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5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5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5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5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5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5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5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5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5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5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5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5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5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5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5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5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5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5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5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5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5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5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5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5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5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5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5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5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5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5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5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5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5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5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5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5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5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5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5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5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5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5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5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5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5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5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5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5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5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5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5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5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5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5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5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5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5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5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5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5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5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5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5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5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5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5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5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5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5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5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5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5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5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5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5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5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5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5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5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5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5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5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5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5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5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5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5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5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5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5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5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5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5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5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5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5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5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5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5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5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5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5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5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5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5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5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5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5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5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5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5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5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5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5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5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5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5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5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5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5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5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5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5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5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5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5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5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5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5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5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5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5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5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5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5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5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5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5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5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5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5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5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5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5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5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5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5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5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5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5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5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5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5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5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5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5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5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5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5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5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5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5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5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5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5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5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5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5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5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5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5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5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5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5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5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5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5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5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5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5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5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5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5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5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5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5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5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5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5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5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5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5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5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5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5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5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5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5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5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5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5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5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5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5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5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5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5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5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5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5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5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5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5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5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5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5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5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5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5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5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5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5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5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5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5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5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5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5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5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5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5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5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5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5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5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5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5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5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5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5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5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5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5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5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5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5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5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5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5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5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5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5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5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5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5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5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5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5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5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5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5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5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5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5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5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5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5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5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5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5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5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5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5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5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5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5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5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5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5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5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5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5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5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5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5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5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5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5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5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5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5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5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5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5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5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5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5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5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5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5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5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5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5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5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5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5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5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5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5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5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5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5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5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5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5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5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5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5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5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5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5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5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5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5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5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5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5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5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5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5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5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5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5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5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5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5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5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5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5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5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5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5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5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5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5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5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5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5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5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5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5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5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5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5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5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5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5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5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5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5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5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5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5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5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5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5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5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5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5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5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5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5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5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5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5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5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5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5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5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5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5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5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5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5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5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5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5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5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5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5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5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5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5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5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5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5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5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5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5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5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5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5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5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5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5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5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5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5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5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5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5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5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5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5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5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5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5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5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5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5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5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5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5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5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5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5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5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5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5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5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5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O1"/>
    <mergeCell ref="A2:G2"/>
    <mergeCell ref="I2:O2"/>
    <mergeCell ref="P2:R2"/>
    <mergeCell ref="T2:V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25</v>
      </c>
      <c r="J1" s="2"/>
      <c r="K1" s="3" t="s">
        <v>26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4" t="s">
        <v>2</v>
      </c>
      <c r="H2" s="5"/>
      <c r="I2" s="6" t="s">
        <v>3</v>
      </c>
      <c r="P2" s="7" t="s">
        <v>4</v>
      </c>
      <c r="S2" s="8"/>
      <c r="T2" s="9" t="s">
        <v>5</v>
      </c>
      <c r="W2" s="2"/>
      <c r="X2" s="2"/>
      <c r="Y2" s="2"/>
      <c r="Z2" s="2"/>
      <c r="AA2" s="2"/>
      <c r="AB2" s="2"/>
      <c r="AC2" s="2"/>
    </row>
    <row r="3">
      <c r="A3" s="10" t="s">
        <v>6</v>
      </c>
      <c r="B3" s="10" t="s">
        <v>7</v>
      </c>
      <c r="C3" s="10" t="s">
        <v>8</v>
      </c>
      <c r="D3" s="10" t="s">
        <v>9</v>
      </c>
      <c r="E3" s="10" t="s">
        <v>10</v>
      </c>
      <c r="F3" s="11" t="s">
        <v>11</v>
      </c>
      <c r="G3" s="11" t="s">
        <v>20</v>
      </c>
      <c r="H3" s="12" t="s">
        <v>12</v>
      </c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  <c r="N3" s="11" t="s">
        <v>11</v>
      </c>
      <c r="O3" s="11" t="s">
        <v>20</v>
      </c>
      <c r="P3" s="13" t="s">
        <v>8</v>
      </c>
      <c r="Q3" s="13" t="s">
        <v>13</v>
      </c>
      <c r="R3" s="13" t="s">
        <v>10</v>
      </c>
      <c r="S3" s="13" t="s">
        <v>7</v>
      </c>
      <c r="T3" s="14" t="s">
        <v>5</v>
      </c>
      <c r="U3" s="8"/>
      <c r="V3" s="8"/>
      <c r="W3" s="2"/>
      <c r="X3" s="2"/>
      <c r="Y3" s="2"/>
      <c r="Z3" s="2"/>
      <c r="AA3" s="2"/>
      <c r="AB3" s="2"/>
      <c r="AC3" s="2"/>
    </row>
    <row r="4">
      <c r="A4" s="15">
        <v>500.0</v>
      </c>
      <c r="B4" s="15">
        <v>1615.0</v>
      </c>
      <c r="C4" s="15">
        <v>64.0</v>
      </c>
      <c r="D4" s="15">
        <v>160.0</v>
      </c>
      <c r="E4" s="15">
        <v>202.0</v>
      </c>
      <c r="F4" s="15">
        <v>1350.208</v>
      </c>
      <c r="G4" s="15"/>
      <c r="H4" s="5">
        <f>MAX(C:C)</f>
        <v>248</v>
      </c>
      <c r="I4" s="15">
        <v>500.0</v>
      </c>
      <c r="J4" s="15">
        <v>1615.0</v>
      </c>
      <c r="K4" s="15">
        <v>64.0</v>
      </c>
      <c r="L4" s="15">
        <v>160.0</v>
      </c>
      <c r="M4" s="15">
        <v>202.0</v>
      </c>
      <c r="N4" s="15">
        <v>66.92538</v>
      </c>
      <c r="O4" s="2"/>
      <c r="P4" s="16" t="b">
        <f t="shared" ref="P4:R4" si="1">C4=K4</f>
        <v>1</v>
      </c>
      <c r="Q4" s="16" t="b">
        <f t="shared" si="1"/>
        <v>1</v>
      </c>
      <c r="R4" s="16" t="b">
        <f t="shared" si="1"/>
        <v>1</v>
      </c>
      <c r="S4" s="17">
        <f t="shared" ref="S4:S53" si="3">J4</f>
        <v>1615</v>
      </c>
      <c r="T4" s="18">
        <f t="shared" ref="T4:T53" si="4">F4/N4</f>
        <v>20.17482755</v>
      </c>
      <c r="U4" s="19" t="s">
        <v>14</v>
      </c>
      <c r="V4" s="20">
        <f>AVERAGE(T:T)</f>
        <v>11.84630068</v>
      </c>
      <c r="W4" s="2"/>
      <c r="X4" s="2"/>
      <c r="Y4" s="2"/>
      <c r="Z4" s="2"/>
      <c r="AA4" s="2"/>
      <c r="AB4" s="2"/>
      <c r="AC4" s="2"/>
    </row>
    <row r="5">
      <c r="A5" s="15">
        <v>501.0</v>
      </c>
      <c r="B5" s="15">
        <v>205.0</v>
      </c>
      <c r="C5" s="15">
        <v>47.0</v>
      </c>
      <c r="D5" s="15">
        <v>159.0</v>
      </c>
      <c r="E5" s="15">
        <v>191.0</v>
      </c>
      <c r="F5" s="15">
        <v>169.6815</v>
      </c>
      <c r="G5" s="15"/>
      <c r="H5" s="12" t="s">
        <v>15</v>
      </c>
      <c r="I5" s="15">
        <v>501.0</v>
      </c>
      <c r="J5" s="15">
        <v>205.0</v>
      </c>
      <c r="K5" s="15">
        <v>47.0</v>
      </c>
      <c r="L5" s="15">
        <v>159.0</v>
      </c>
      <c r="M5" s="15">
        <v>191.0</v>
      </c>
      <c r="N5" s="15">
        <v>28.99667</v>
      </c>
      <c r="O5" s="2"/>
      <c r="P5" s="16" t="b">
        <f t="shared" ref="P5:R5" si="2">C5=K5</f>
        <v>1</v>
      </c>
      <c r="Q5" s="16" t="b">
        <f t="shared" si="2"/>
        <v>1</v>
      </c>
      <c r="R5" s="16" t="b">
        <f t="shared" si="2"/>
        <v>1</v>
      </c>
      <c r="S5" s="17">
        <f t="shared" si="3"/>
        <v>205</v>
      </c>
      <c r="T5" s="18">
        <f t="shared" si="4"/>
        <v>5.85175815</v>
      </c>
      <c r="U5" s="19" t="s">
        <v>16</v>
      </c>
      <c r="V5" s="20">
        <f>max(T:T)</f>
        <v>22.49590288</v>
      </c>
      <c r="W5" s="2"/>
      <c r="X5" s="2"/>
      <c r="Y5" s="2"/>
      <c r="Z5" s="2"/>
      <c r="AA5" s="2"/>
      <c r="AB5" s="2"/>
      <c r="AC5" s="2"/>
    </row>
    <row r="6">
      <c r="A6" s="15">
        <v>502.0</v>
      </c>
      <c r="B6" s="15">
        <v>515.0</v>
      </c>
      <c r="C6" s="15">
        <v>47.0</v>
      </c>
      <c r="D6" s="15">
        <v>16.0</v>
      </c>
      <c r="E6" s="15">
        <v>56.0</v>
      </c>
      <c r="F6" s="15">
        <v>422.1262</v>
      </c>
      <c r="G6" s="15"/>
      <c r="H6" s="5">
        <f t="array" ref="H6">INDEX(A:A, MATCH(H4, C:C, 0))</f>
        <v>515</v>
      </c>
      <c r="I6" s="15">
        <v>502.0</v>
      </c>
      <c r="J6" s="15">
        <v>515.0</v>
      </c>
      <c r="K6" s="15">
        <v>47.0</v>
      </c>
      <c r="L6" s="15">
        <v>16.0</v>
      </c>
      <c r="M6" s="15">
        <v>56.0</v>
      </c>
      <c r="N6" s="15">
        <v>39.17699</v>
      </c>
      <c r="O6" s="2"/>
      <c r="P6" s="16" t="b">
        <f t="shared" ref="P6:R6" si="5">C6=K6</f>
        <v>1</v>
      </c>
      <c r="Q6" s="16" t="b">
        <f t="shared" si="5"/>
        <v>1</v>
      </c>
      <c r="R6" s="16" t="b">
        <f t="shared" si="5"/>
        <v>1</v>
      </c>
      <c r="S6" s="17">
        <f t="shared" si="3"/>
        <v>515</v>
      </c>
      <c r="T6" s="18">
        <f t="shared" si="4"/>
        <v>10.77485024</v>
      </c>
      <c r="U6" s="19" t="s">
        <v>17</v>
      </c>
      <c r="V6" s="20">
        <f>MIN(T:T)</f>
        <v>5.121095148</v>
      </c>
      <c r="W6" s="2"/>
      <c r="X6" s="2"/>
      <c r="Y6" s="2"/>
      <c r="Z6" s="2"/>
      <c r="AA6" s="2"/>
      <c r="AB6" s="2"/>
      <c r="AC6" s="2"/>
    </row>
    <row r="7">
      <c r="A7" s="15">
        <v>503.0</v>
      </c>
      <c r="B7" s="15">
        <v>329.0</v>
      </c>
      <c r="C7" s="15">
        <v>50.0</v>
      </c>
      <c r="D7" s="15">
        <v>164.0</v>
      </c>
      <c r="E7" s="15">
        <v>205.0</v>
      </c>
      <c r="F7" s="15">
        <v>276.305</v>
      </c>
      <c r="G7" s="15"/>
      <c r="H7" s="5"/>
      <c r="I7" s="15">
        <v>503.0</v>
      </c>
      <c r="J7" s="15">
        <v>329.0</v>
      </c>
      <c r="K7" s="15">
        <v>50.0</v>
      </c>
      <c r="L7" s="15">
        <v>164.0</v>
      </c>
      <c r="M7" s="15">
        <v>205.0</v>
      </c>
      <c r="N7" s="15">
        <v>31.90099</v>
      </c>
      <c r="O7" s="2"/>
      <c r="P7" s="16" t="b">
        <f t="shared" ref="P7:R7" si="6">C7=K7</f>
        <v>1</v>
      </c>
      <c r="Q7" s="16" t="b">
        <f t="shared" si="6"/>
        <v>1</v>
      </c>
      <c r="R7" s="16" t="b">
        <f t="shared" si="6"/>
        <v>1</v>
      </c>
      <c r="S7" s="17">
        <f t="shared" si="3"/>
        <v>329</v>
      </c>
      <c r="T7" s="18">
        <f t="shared" si="4"/>
        <v>8.661329946</v>
      </c>
      <c r="U7" s="8"/>
      <c r="V7" s="8"/>
      <c r="W7" s="2"/>
      <c r="X7" s="2"/>
      <c r="Y7" s="2"/>
      <c r="Z7" s="2"/>
      <c r="AA7" s="2"/>
      <c r="AB7" s="2"/>
      <c r="AC7" s="2"/>
    </row>
    <row r="8">
      <c r="A8" s="15">
        <v>504.0</v>
      </c>
      <c r="B8" s="15">
        <v>1153.0</v>
      </c>
      <c r="C8" s="15">
        <v>53.0</v>
      </c>
      <c r="D8" s="15">
        <v>396.0</v>
      </c>
      <c r="E8" s="15">
        <v>431.0</v>
      </c>
      <c r="F8" s="15">
        <v>946.2414</v>
      </c>
      <c r="G8" s="15"/>
      <c r="H8" s="5"/>
      <c r="I8" s="15">
        <v>504.0</v>
      </c>
      <c r="J8" s="15">
        <v>1153.0</v>
      </c>
      <c r="K8" s="15">
        <v>53.0</v>
      </c>
      <c r="L8" s="15">
        <v>396.0</v>
      </c>
      <c r="M8" s="15">
        <v>431.0</v>
      </c>
      <c r="N8" s="15">
        <v>53.67603</v>
      </c>
      <c r="O8" s="2"/>
      <c r="P8" s="16" t="b">
        <f t="shared" ref="P8:R8" si="7">C8=K8</f>
        <v>1</v>
      </c>
      <c r="Q8" s="16" t="b">
        <f t="shared" si="7"/>
        <v>1</v>
      </c>
      <c r="R8" s="16" t="b">
        <f t="shared" si="7"/>
        <v>1</v>
      </c>
      <c r="S8" s="17">
        <f t="shared" si="3"/>
        <v>1153</v>
      </c>
      <c r="T8" s="18">
        <f t="shared" si="4"/>
        <v>17.6287516</v>
      </c>
      <c r="U8" s="8"/>
      <c r="V8" s="8"/>
      <c r="W8" s="2"/>
      <c r="X8" s="2"/>
      <c r="Y8" s="2"/>
      <c r="Z8" s="2"/>
      <c r="AA8" s="2"/>
      <c r="AB8" s="2"/>
      <c r="AC8" s="2"/>
    </row>
    <row r="9">
      <c r="A9" s="15">
        <v>505.0</v>
      </c>
      <c r="B9" s="15">
        <v>482.0</v>
      </c>
      <c r="C9" s="15">
        <v>52.0</v>
      </c>
      <c r="D9" s="15">
        <v>302.0</v>
      </c>
      <c r="E9" s="15">
        <v>343.0</v>
      </c>
      <c r="F9" s="15">
        <v>393.5962</v>
      </c>
      <c r="G9" s="15"/>
      <c r="H9" s="5"/>
      <c r="I9" s="15">
        <v>505.0</v>
      </c>
      <c r="J9" s="15">
        <v>482.0</v>
      </c>
      <c r="K9" s="15">
        <v>52.0</v>
      </c>
      <c r="L9" s="15">
        <v>302.0</v>
      </c>
      <c r="M9" s="15">
        <v>343.0</v>
      </c>
      <c r="N9" s="15">
        <v>37.04045</v>
      </c>
      <c r="O9" s="2"/>
      <c r="P9" s="16" t="b">
        <f t="shared" ref="P9:R9" si="8">C9=K9</f>
        <v>1</v>
      </c>
      <c r="Q9" s="16" t="b">
        <f t="shared" si="8"/>
        <v>1</v>
      </c>
      <c r="R9" s="16" t="b">
        <f t="shared" si="8"/>
        <v>1</v>
      </c>
      <c r="S9" s="17">
        <f t="shared" si="3"/>
        <v>482</v>
      </c>
      <c r="T9" s="18">
        <f t="shared" si="4"/>
        <v>10.6261182</v>
      </c>
      <c r="U9" s="8"/>
      <c r="V9" s="8"/>
      <c r="W9" s="2"/>
      <c r="X9" s="2"/>
      <c r="Y9" s="2"/>
      <c r="Z9" s="2"/>
      <c r="AA9" s="2"/>
      <c r="AB9" s="2"/>
      <c r="AC9" s="2"/>
    </row>
    <row r="10">
      <c r="A10" s="15">
        <v>506.0</v>
      </c>
      <c r="B10" s="15">
        <v>415.0</v>
      </c>
      <c r="C10" s="15">
        <v>58.0</v>
      </c>
      <c r="D10" s="15">
        <v>260.0</v>
      </c>
      <c r="E10" s="15">
        <v>305.0</v>
      </c>
      <c r="F10" s="15">
        <v>338.6589</v>
      </c>
      <c r="G10" s="15"/>
      <c r="H10" s="5"/>
      <c r="I10" s="15">
        <v>506.0</v>
      </c>
      <c r="J10" s="15">
        <v>415.0</v>
      </c>
      <c r="K10" s="15">
        <v>58.0</v>
      </c>
      <c r="L10" s="15">
        <v>260.0</v>
      </c>
      <c r="M10" s="15">
        <v>305.0</v>
      </c>
      <c r="N10" s="15">
        <v>37.81939</v>
      </c>
      <c r="O10" s="2"/>
      <c r="P10" s="16" t="b">
        <f t="shared" ref="P10:R10" si="9">C10=K10</f>
        <v>1</v>
      </c>
      <c r="Q10" s="16" t="b">
        <f t="shared" si="9"/>
        <v>1</v>
      </c>
      <c r="R10" s="16" t="b">
        <f t="shared" si="9"/>
        <v>1</v>
      </c>
      <c r="S10" s="17">
        <f t="shared" si="3"/>
        <v>415</v>
      </c>
      <c r="T10" s="18">
        <f t="shared" si="4"/>
        <v>8.954636762</v>
      </c>
      <c r="U10" s="8"/>
      <c r="V10" s="8"/>
      <c r="W10" s="2"/>
      <c r="X10" s="2"/>
      <c r="Y10" s="2"/>
      <c r="Z10" s="2"/>
      <c r="AA10" s="2"/>
      <c r="AB10" s="2"/>
      <c r="AC10" s="2"/>
    </row>
    <row r="11">
      <c r="A11" s="15">
        <v>507.0</v>
      </c>
      <c r="B11" s="15">
        <v>997.0</v>
      </c>
      <c r="C11" s="15">
        <v>54.0</v>
      </c>
      <c r="D11" s="15">
        <v>752.0</v>
      </c>
      <c r="E11" s="15">
        <v>809.0</v>
      </c>
      <c r="F11" s="15">
        <v>812.5138</v>
      </c>
      <c r="G11" s="15"/>
      <c r="H11" s="5"/>
      <c r="I11" s="15">
        <v>507.0</v>
      </c>
      <c r="J11" s="15">
        <v>997.0</v>
      </c>
      <c r="K11" s="15">
        <v>54.0</v>
      </c>
      <c r="L11" s="15">
        <v>752.0</v>
      </c>
      <c r="M11" s="15">
        <v>809.0</v>
      </c>
      <c r="N11" s="15">
        <v>54.71117</v>
      </c>
      <c r="O11" s="2"/>
      <c r="P11" s="16" t="b">
        <f t="shared" ref="P11:R11" si="10">C11=K11</f>
        <v>1</v>
      </c>
      <c r="Q11" s="16" t="b">
        <f t="shared" si="10"/>
        <v>1</v>
      </c>
      <c r="R11" s="16" t="b">
        <f t="shared" si="10"/>
        <v>1</v>
      </c>
      <c r="S11" s="17">
        <f t="shared" si="3"/>
        <v>997</v>
      </c>
      <c r="T11" s="18">
        <f t="shared" si="4"/>
        <v>14.85096736</v>
      </c>
      <c r="U11" s="8"/>
      <c r="V11" s="8"/>
      <c r="W11" s="2"/>
      <c r="X11" s="2"/>
      <c r="Y11" s="2"/>
      <c r="Z11" s="2"/>
      <c r="AA11" s="2"/>
      <c r="AB11" s="2"/>
      <c r="AC11" s="2"/>
    </row>
    <row r="12">
      <c r="A12" s="15">
        <v>508.0</v>
      </c>
      <c r="B12" s="15">
        <v>375.0</v>
      </c>
      <c r="C12" s="15">
        <v>50.0</v>
      </c>
      <c r="D12" s="15">
        <v>121.0</v>
      </c>
      <c r="E12" s="15">
        <v>168.0</v>
      </c>
      <c r="F12" s="15">
        <v>304.8222</v>
      </c>
      <c r="G12" s="15"/>
      <c r="H12" s="5"/>
      <c r="I12" s="15">
        <v>508.0</v>
      </c>
      <c r="J12" s="15">
        <v>375.0</v>
      </c>
      <c r="K12" s="15">
        <v>50.0</v>
      </c>
      <c r="L12" s="15">
        <v>121.0</v>
      </c>
      <c r="M12" s="15">
        <v>168.0</v>
      </c>
      <c r="N12" s="15">
        <v>36.50765</v>
      </c>
      <c r="O12" s="2"/>
      <c r="P12" s="16" t="b">
        <f t="shared" ref="P12:R12" si="11">C12=K12</f>
        <v>1</v>
      </c>
      <c r="Q12" s="16" t="b">
        <f t="shared" si="11"/>
        <v>1</v>
      </c>
      <c r="R12" s="16" t="b">
        <f t="shared" si="11"/>
        <v>1</v>
      </c>
      <c r="S12" s="17">
        <f t="shared" si="3"/>
        <v>375</v>
      </c>
      <c r="T12" s="18">
        <f t="shared" si="4"/>
        <v>8.349543178</v>
      </c>
      <c r="U12" s="8"/>
      <c r="V12" s="8"/>
      <c r="W12" s="2"/>
      <c r="X12" s="2"/>
      <c r="Y12" s="2"/>
      <c r="Z12" s="2"/>
      <c r="AA12" s="2"/>
      <c r="AB12" s="2"/>
      <c r="AC12" s="2"/>
    </row>
    <row r="13">
      <c r="A13" s="15">
        <v>509.0</v>
      </c>
      <c r="B13" s="15">
        <v>220.0</v>
      </c>
      <c r="C13" s="15">
        <v>46.0</v>
      </c>
      <c r="D13" s="15">
        <v>125.0</v>
      </c>
      <c r="E13" s="15">
        <v>163.0</v>
      </c>
      <c r="F13" s="15">
        <v>179.3029</v>
      </c>
      <c r="G13" s="15"/>
      <c r="H13" s="5"/>
      <c r="I13" s="15">
        <v>509.0</v>
      </c>
      <c r="J13" s="15">
        <v>220.0</v>
      </c>
      <c r="K13" s="15">
        <v>46.0</v>
      </c>
      <c r="L13" s="15">
        <v>125.0</v>
      </c>
      <c r="M13" s="15">
        <v>163.0</v>
      </c>
      <c r="N13" s="15">
        <v>29.0048</v>
      </c>
      <c r="O13" s="2"/>
      <c r="P13" s="16" t="b">
        <f t="shared" ref="P13:R13" si="12">C13=K13</f>
        <v>1</v>
      </c>
      <c r="Q13" s="16" t="b">
        <f t="shared" si="12"/>
        <v>1</v>
      </c>
      <c r="R13" s="16" t="b">
        <f t="shared" si="12"/>
        <v>1</v>
      </c>
      <c r="S13" s="17">
        <f t="shared" si="3"/>
        <v>220</v>
      </c>
      <c r="T13" s="18">
        <f t="shared" si="4"/>
        <v>6.18183542</v>
      </c>
      <c r="U13" s="8"/>
      <c r="V13" s="8"/>
      <c r="W13" s="2"/>
      <c r="X13" s="2"/>
      <c r="Y13" s="2"/>
      <c r="Z13" s="2"/>
      <c r="AA13" s="2"/>
      <c r="AB13" s="2"/>
      <c r="AC13" s="2"/>
    </row>
    <row r="14">
      <c r="A14" s="15">
        <v>510.0</v>
      </c>
      <c r="B14" s="15">
        <v>542.0</v>
      </c>
      <c r="C14" s="15">
        <v>47.0</v>
      </c>
      <c r="D14" s="15">
        <v>504.0</v>
      </c>
      <c r="E14" s="15">
        <v>539.0</v>
      </c>
      <c r="F14" s="15">
        <v>442.9461</v>
      </c>
      <c r="G14" s="15"/>
      <c r="H14" s="5"/>
      <c r="I14" s="15">
        <v>510.0</v>
      </c>
      <c r="J14" s="15">
        <v>542.0</v>
      </c>
      <c r="K14" s="15">
        <v>47.0</v>
      </c>
      <c r="L14" s="15">
        <v>504.0</v>
      </c>
      <c r="M14" s="15">
        <v>539.0</v>
      </c>
      <c r="N14" s="15">
        <v>37.25715</v>
      </c>
      <c r="O14" s="2"/>
      <c r="P14" s="16" t="b">
        <f t="shared" ref="P14:R14" si="13">C14=K14</f>
        <v>1</v>
      </c>
      <c r="Q14" s="16" t="b">
        <f t="shared" si="13"/>
        <v>1</v>
      </c>
      <c r="R14" s="16" t="b">
        <f t="shared" si="13"/>
        <v>1</v>
      </c>
      <c r="S14" s="17">
        <f t="shared" si="3"/>
        <v>542</v>
      </c>
      <c r="T14" s="18">
        <f t="shared" si="4"/>
        <v>11.88888844</v>
      </c>
      <c r="U14" s="8"/>
      <c r="V14" s="8"/>
      <c r="W14" s="2"/>
      <c r="X14" s="2"/>
      <c r="Y14" s="2"/>
      <c r="Z14" s="2"/>
      <c r="AA14" s="2"/>
      <c r="AB14" s="2"/>
      <c r="AC14" s="2"/>
    </row>
    <row r="15">
      <c r="A15" s="15">
        <v>511.0</v>
      </c>
      <c r="B15" s="15">
        <v>1730.0</v>
      </c>
      <c r="C15" s="15">
        <v>55.0</v>
      </c>
      <c r="D15" s="15">
        <v>1145.0</v>
      </c>
      <c r="E15" s="15">
        <v>1187.0</v>
      </c>
      <c r="F15" s="15">
        <v>1393.855</v>
      </c>
      <c r="G15" s="15"/>
      <c r="H15" s="5"/>
      <c r="I15" s="15">
        <v>511.0</v>
      </c>
      <c r="J15" s="15">
        <v>1730.0</v>
      </c>
      <c r="K15" s="15">
        <v>55.0</v>
      </c>
      <c r="L15" s="15">
        <v>1145.0</v>
      </c>
      <c r="M15" s="15">
        <v>1187.0</v>
      </c>
      <c r="N15" s="15">
        <v>73.5529</v>
      </c>
      <c r="O15" s="2"/>
      <c r="P15" s="16" t="b">
        <f t="shared" ref="P15:R15" si="14">C15=K15</f>
        <v>1</v>
      </c>
      <c r="Q15" s="16" t="b">
        <f t="shared" si="14"/>
        <v>1</v>
      </c>
      <c r="R15" s="16" t="b">
        <f t="shared" si="14"/>
        <v>1</v>
      </c>
      <c r="S15" s="17">
        <f t="shared" si="3"/>
        <v>1730</v>
      </c>
      <c r="T15" s="18">
        <f t="shared" si="4"/>
        <v>18.95037449</v>
      </c>
      <c r="U15" s="8"/>
      <c r="V15" s="8"/>
      <c r="W15" s="2"/>
      <c r="X15" s="2"/>
      <c r="Y15" s="2"/>
      <c r="Z15" s="2"/>
      <c r="AA15" s="2"/>
      <c r="AB15" s="2"/>
      <c r="AC15" s="2"/>
    </row>
    <row r="16">
      <c r="A16" s="15">
        <v>512.0</v>
      </c>
      <c r="B16" s="15">
        <v>337.0</v>
      </c>
      <c r="C16" s="15">
        <v>59.0</v>
      </c>
      <c r="D16" s="15">
        <v>264.0</v>
      </c>
      <c r="E16" s="15">
        <v>299.0</v>
      </c>
      <c r="F16" s="15">
        <v>275.717</v>
      </c>
      <c r="G16" s="15"/>
      <c r="H16" s="5"/>
      <c r="I16" s="15">
        <v>512.0</v>
      </c>
      <c r="J16" s="15">
        <v>337.0</v>
      </c>
      <c r="K16" s="15">
        <v>59.0</v>
      </c>
      <c r="L16" s="15">
        <v>264.0</v>
      </c>
      <c r="M16" s="15">
        <v>299.0</v>
      </c>
      <c r="N16" s="15">
        <v>30.27174</v>
      </c>
      <c r="O16" s="2"/>
      <c r="P16" s="16" t="b">
        <f t="shared" ref="P16:R16" si="15">C16=K16</f>
        <v>1</v>
      </c>
      <c r="Q16" s="16" t="b">
        <f t="shared" si="15"/>
        <v>1</v>
      </c>
      <c r="R16" s="16" t="b">
        <f t="shared" si="15"/>
        <v>1</v>
      </c>
      <c r="S16" s="17">
        <f t="shared" si="3"/>
        <v>337</v>
      </c>
      <c r="T16" s="18">
        <f t="shared" si="4"/>
        <v>9.108065807</v>
      </c>
      <c r="U16" s="8"/>
      <c r="V16" s="8"/>
      <c r="W16" s="2"/>
      <c r="X16" s="2"/>
      <c r="Y16" s="2"/>
      <c r="Z16" s="2"/>
      <c r="AA16" s="2"/>
      <c r="AB16" s="2"/>
      <c r="AC16" s="2"/>
    </row>
    <row r="17">
      <c r="A17" s="15">
        <v>513.0</v>
      </c>
      <c r="B17" s="15">
        <v>819.0</v>
      </c>
      <c r="C17" s="15">
        <v>51.0</v>
      </c>
      <c r="D17" s="15">
        <v>427.0</v>
      </c>
      <c r="E17" s="15">
        <v>476.0</v>
      </c>
      <c r="F17" s="15">
        <v>680.896</v>
      </c>
      <c r="G17" s="15"/>
      <c r="H17" s="5"/>
      <c r="I17" s="15">
        <v>513.0</v>
      </c>
      <c r="J17" s="15">
        <v>819.0</v>
      </c>
      <c r="K17" s="15">
        <v>51.0</v>
      </c>
      <c r="L17" s="15">
        <v>427.0</v>
      </c>
      <c r="M17" s="15">
        <v>476.0</v>
      </c>
      <c r="N17" s="15">
        <v>59.73709</v>
      </c>
      <c r="O17" s="2"/>
      <c r="P17" s="16" t="b">
        <f t="shared" ref="P17:R17" si="16">C17=K17</f>
        <v>1</v>
      </c>
      <c r="Q17" s="16" t="b">
        <f t="shared" si="16"/>
        <v>1</v>
      </c>
      <c r="R17" s="16" t="b">
        <f t="shared" si="16"/>
        <v>1</v>
      </c>
      <c r="S17" s="17">
        <f t="shared" si="3"/>
        <v>819</v>
      </c>
      <c r="T17" s="18">
        <f t="shared" si="4"/>
        <v>11.39821173</v>
      </c>
      <c r="U17" s="8"/>
      <c r="V17" s="8"/>
      <c r="W17" s="2"/>
      <c r="X17" s="2"/>
      <c r="Y17" s="2"/>
      <c r="Z17" s="2"/>
      <c r="AA17" s="2"/>
      <c r="AB17" s="2"/>
      <c r="AC17" s="2"/>
    </row>
    <row r="18">
      <c r="A18" s="15">
        <v>514.0</v>
      </c>
      <c r="B18" s="15">
        <v>1050.0</v>
      </c>
      <c r="C18" s="15">
        <v>57.0</v>
      </c>
      <c r="D18" s="15">
        <v>288.0</v>
      </c>
      <c r="E18" s="15">
        <v>339.0</v>
      </c>
      <c r="F18" s="15">
        <v>854.0549</v>
      </c>
      <c r="G18" s="15"/>
      <c r="H18" s="5"/>
      <c r="I18" s="15">
        <v>514.0</v>
      </c>
      <c r="J18" s="15">
        <v>1050.0</v>
      </c>
      <c r="K18" s="15">
        <v>57.0</v>
      </c>
      <c r="L18" s="15">
        <v>288.0</v>
      </c>
      <c r="M18" s="15">
        <v>339.0</v>
      </c>
      <c r="N18" s="15">
        <v>55.70883</v>
      </c>
      <c r="O18" s="2"/>
      <c r="P18" s="16" t="b">
        <f t="shared" ref="P18:R18" si="17">C18=K18</f>
        <v>1</v>
      </c>
      <c r="Q18" s="16" t="b">
        <f t="shared" si="17"/>
        <v>1</v>
      </c>
      <c r="R18" s="16" t="b">
        <f t="shared" si="17"/>
        <v>1</v>
      </c>
      <c r="S18" s="17">
        <f t="shared" si="3"/>
        <v>1050</v>
      </c>
      <c r="T18" s="18">
        <f t="shared" si="4"/>
        <v>15.33069174</v>
      </c>
      <c r="U18" s="8"/>
      <c r="V18" s="8"/>
      <c r="W18" s="2"/>
      <c r="X18" s="2"/>
      <c r="Y18" s="2"/>
      <c r="Z18" s="2"/>
      <c r="AA18" s="2"/>
      <c r="AB18" s="2"/>
      <c r="AC18" s="2"/>
    </row>
    <row r="19">
      <c r="A19" s="15">
        <v>515.0</v>
      </c>
      <c r="B19" s="15">
        <v>821.0</v>
      </c>
      <c r="C19" s="15">
        <v>248.0</v>
      </c>
      <c r="D19" s="15">
        <v>117.0</v>
      </c>
      <c r="E19" s="15">
        <v>166.0</v>
      </c>
      <c r="F19" s="15">
        <v>679.3151</v>
      </c>
      <c r="G19" s="15"/>
      <c r="H19" s="5"/>
      <c r="I19" s="15">
        <v>515.0</v>
      </c>
      <c r="J19" s="15">
        <v>821.0</v>
      </c>
      <c r="K19" s="15">
        <v>248.0</v>
      </c>
      <c r="L19" s="15">
        <v>117.0</v>
      </c>
      <c r="M19" s="15">
        <v>166.0</v>
      </c>
      <c r="N19" s="15">
        <v>48.63389</v>
      </c>
      <c r="O19" s="2"/>
      <c r="P19" s="16" t="b">
        <f t="shared" ref="P19:R19" si="18">C19=K19</f>
        <v>1</v>
      </c>
      <c r="Q19" s="16" t="b">
        <f t="shared" si="18"/>
        <v>1</v>
      </c>
      <c r="R19" s="16" t="b">
        <f t="shared" si="18"/>
        <v>1</v>
      </c>
      <c r="S19" s="17">
        <f t="shared" si="3"/>
        <v>821</v>
      </c>
      <c r="T19" s="18">
        <f t="shared" si="4"/>
        <v>13.96793676</v>
      </c>
      <c r="U19" s="8"/>
      <c r="V19" s="8"/>
      <c r="W19" s="2"/>
      <c r="X19" s="2"/>
      <c r="Y19" s="2"/>
      <c r="Z19" s="2"/>
      <c r="AA19" s="2"/>
      <c r="AB19" s="2"/>
      <c r="AC19" s="2"/>
    </row>
    <row r="20">
      <c r="A20" s="15">
        <v>516.0</v>
      </c>
      <c r="B20" s="15">
        <v>537.0</v>
      </c>
      <c r="C20" s="15">
        <v>58.0</v>
      </c>
      <c r="D20" s="15">
        <v>429.0</v>
      </c>
      <c r="E20" s="15">
        <v>489.0</v>
      </c>
      <c r="F20" s="15">
        <v>438.2594</v>
      </c>
      <c r="G20" s="15"/>
      <c r="H20" s="5"/>
      <c r="I20" s="15">
        <v>516.0</v>
      </c>
      <c r="J20" s="15">
        <v>537.0</v>
      </c>
      <c r="K20" s="15">
        <v>58.0</v>
      </c>
      <c r="L20" s="15">
        <v>429.0</v>
      </c>
      <c r="M20" s="15">
        <v>489.0</v>
      </c>
      <c r="N20" s="15">
        <v>42.07718</v>
      </c>
      <c r="O20" s="2"/>
      <c r="P20" s="16" t="b">
        <f t="shared" ref="P20:R20" si="19">C20=K20</f>
        <v>1</v>
      </c>
      <c r="Q20" s="16" t="b">
        <f t="shared" si="19"/>
        <v>1</v>
      </c>
      <c r="R20" s="16" t="b">
        <f t="shared" si="19"/>
        <v>1</v>
      </c>
      <c r="S20" s="17">
        <f t="shared" si="3"/>
        <v>537</v>
      </c>
      <c r="T20" s="18">
        <f t="shared" si="4"/>
        <v>10.4156077</v>
      </c>
      <c r="U20" s="8"/>
      <c r="V20" s="8"/>
      <c r="W20" s="2"/>
      <c r="X20" s="2"/>
      <c r="Y20" s="2"/>
      <c r="Z20" s="2"/>
      <c r="AA20" s="2"/>
      <c r="AB20" s="2"/>
      <c r="AC20" s="2"/>
    </row>
    <row r="21">
      <c r="A21" s="15">
        <v>517.0</v>
      </c>
      <c r="B21" s="15">
        <v>717.0</v>
      </c>
      <c r="C21" s="15">
        <v>52.0</v>
      </c>
      <c r="D21" s="15">
        <v>303.0</v>
      </c>
      <c r="E21" s="15">
        <v>349.0</v>
      </c>
      <c r="F21" s="15">
        <v>590.0408</v>
      </c>
      <c r="G21" s="15"/>
      <c r="H21" s="5"/>
      <c r="I21" s="15">
        <v>517.0</v>
      </c>
      <c r="J21" s="15">
        <v>717.0</v>
      </c>
      <c r="K21" s="15">
        <v>52.0</v>
      </c>
      <c r="L21" s="15">
        <v>303.0</v>
      </c>
      <c r="M21" s="15">
        <v>349.0</v>
      </c>
      <c r="N21" s="15">
        <v>44.15197</v>
      </c>
      <c r="O21" s="2"/>
      <c r="P21" s="16" t="b">
        <f t="shared" ref="P21:R21" si="20">C21=K21</f>
        <v>1</v>
      </c>
      <c r="Q21" s="16" t="b">
        <f t="shared" si="20"/>
        <v>1</v>
      </c>
      <c r="R21" s="16" t="b">
        <f t="shared" si="20"/>
        <v>1</v>
      </c>
      <c r="S21" s="17">
        <f t="shared" si="3"/>
        <v>717</v>
      </c>
      <c r="T21" s="18">
        <f t="shared" si="4"/>
        <v>13.36386123</v>
      </c>
      <c r="U21" s="8"/>
      <c r="V21" s="8"/>
      <c r="W21" s="2"/>
      <c r="X21" s="2"/>
      <c r="Y21" s="2"/>
      <c r="Z21" s="2"/>
      <c r="AA21" s="2"/>
      <c r="AB21" s="2"/>
      <c r="AC21" s="2"/>
    </row>
    <row r="22">
      <c r="A22" s="15">
        <v>518.0</v>
      </c>
      <c r="B22" s="15">
        <v>2136.0</v>
      </c>
      <c r="C22" s="15">
        <v>57.0</v>
      </c>
      <c r="D22" s="15">
        <v>88.0</v>
      </c>
      <c r="E22" s="15">
        <v>122.0</v>
      </c>
      <c r="F22" s="15">
        <v>1717.64</v>
      </c>
      <c r="G22" s="15"/>
      <c r="H22" s="5"/>
      <c r="I22" s="15">
        <v>518.0</v>
      </c>
      <c r="J22" s="15">
        <v>2136.0</v>
      </c>
      <c r="K22" s="15">
        <v>57.0</v>
      </c>
      <c r="L22" s="15">
        <v>88.0</v>
      </c>
      <c r="M22" s="15">
        <v>122.0</v>
      </c>
      <c r="N22" s="15">
        <v>84.04925</v>
      </c>
      <c r="O22" s="2"/>
      <c r="P22" s="16" t="b">
        <f t="shared" ref="P22:R22" si="21">C22=K22</f>
        <v>1</v>
      </c>
      <c r="Q22" s="16" t="b">
        <f t="shared" si="21"/>
        <v>1</v>
      </c>
      <c r="R22" s="16" t="b">
        <f t="shared" si="21"/>
        <v>1</v>
      </c>
      <c r="S22" s="17">
        <f t="shared" si="3"/>
        <v>2136</v>
      </c>
      <c r="T22" s="18">
        <f t="shared" si="4"/>
        <v>20.43611335</v>
      </c>
      <c r="U22" s="8"/>
      <c r="V22" s="8"/>
      <c r="W22" s="2"/>
      <c r="X22" s="2"/>
      <c r="Y22" s="2"/>
      <c r="Z22" s="2"/>
      <c r="AA22" s="2"/>
      <c r="AB22" s="2"/>
      <c r="AC22" s="2"/>
    </row>
    <row r="23">
      <c r="A23" s="15">
        <v>519.0</v>
      </c>
      <c r="B23" s="15">
        <v>1410.0</v>
      </c>
      <c r="C23" s="15">
        <v>54.0</v>
      </c>
      <c r="D23" s="15">
        <v>1178.0</v>
      </c>
      <c r="E23" s="15">
        <v>1211.0</v>
      </c>
      <c r="F23" s="15">
        <v>1147.318</v>
      </c>
      <c r="G23" s="15"/>
      <c r="H23" s="5"/>
      <c r="I23" s="15">
        <v>519.0</v>
      </c>
      <c r="J23" s="15">
        <v>1410.0</v>
      </c>
      <c r="K23" s="15">
        <v>54.0</v>
      </c>
      <c r="L23" s="15">
        <v>1178.0</v>
      </c>
      <c r="M23" s="15">
        <v>1211.0</v>
      </c>
      <c r="N23" s="15">
        <v>59.87431</v>
      </c>
      <c r="O23" s="2"/>
      <c r="P23" s="16" t="b">
        <f t="shared" ref="P23:R23" si="22">C23=K23</f>
        <v>1</v>
      </c>
      <c r="Q23" s="16" t="b">
        <f t="shared" si="22"/>
        <v>1</v>
      </c>
      <c r="R23" s="16" t="b">
        <f t="shared" si="22"/>
        <v>1</v>
      </c>
      <c r="S23" s="17">
        <f t="shared" si="3"/>
        <v>1410</v>
      </c>
      <c r="T23" s="18">
        <f t="shared" si="4"/>
        <v>19.16210809</v>
      </c>
      <c r="U23" s="8"/>
      <c r="V23" s="8"/>
      <c r="W23" s="2"/>
      <c r="X23" s="2"/>
      <c r="Y23" s="2"/>
      <c r="Z23" s="2"/>
      <c r="AA23" s="2"/>
      <c r="AB23" s="2"/>
      <c r="AC23" s="2"/>
    </row>
    <row r="24">
      <c r="A24" s="15">
        <v>520.0</v>
      </c>
      <c r="B24" s="15">
        <v>930.0</v>
      </c>
      <c r="C24" s="15">
        <v>53.0</v>
      </c>
      <c r="D24" s="15">
        <v>133.0</v>
      </c>
      <c r="E24" s="15">
        <v>177.0</v>
      </c>
      <c r="F24" s="15">
        <v>748.3023</v>
      </c>
      <c r="G24" s="15"/>
      <c r="H24" s="5"/>
      <c r="I24" s="15">
        <v>520.0</v>
      </c>
      <c r="J24" s="15">
        <v>930.0</v>
      </c>
      <c r="K24" s="15">
        <v>53.0</v>
      </c>
      <c r="L24" s="15">
        <v>133.0</v>
      </c>
      <c r="M24" s="15">
        <v>177.0</v>
      </c>
      <c r="N24" s="15">
        <v>50.55898</v>
      </c>
      <c r="O24" s="2"/>
      <c r="P24" s="16" t="b">
        <f t="shared" ref="P24:R24" si="23">C24=K24</f>
        <v>1</v>
      </c>
      <c r="Q24" s="16" t="b">
        <f t="shared" si="23"/>
        <v>1</v>
      </c>
      <c r="R24" s="16" t="b">
        <f t="shared" si="23"/>
        <v>1</v>
      </c>
      <c r="S24" s="17">
        <f t="shared" si="3"/>
        <v>930</v>
      </c>
      <c r="T24" s="18">
        <f t="shared" si="4"/>
        <v>14.80058142</v>
      </c>
      <c r="U24" s="8"/>
      <c r="V24" s="8"/>
      <c r="W24" s="2"/>
      <c r="X24" s="2"/>
      <c r="Y24" s="2"/>
      <c r="Z24" s="2"/>
      <c r="AA24" s="2"/>
      <c r="AB24" s="2"/>
      <c r="AC24" s="2"/>
    </row>
    <row r="25">
      <c r="A25" s="15">
        <v>521.0</v>
      </c>
      <c r="B25" s="15">
        <v>543.0</v>
      </c>
      <c r="C25" s="15">
        <v>58.0</v>
      </c>
      <c r="D25" s="15">
        <v>264.0</v>
      </c>
      <c r="E25" s="15">
        <v>309.0</v>
      </c>
      <c r="F25" s="15">
        <v>439.4143</v>
      </c>
      <c r="G25" s="15"/>
      <c r="H25" s="5"/>
      <c r="I25" s="15">
        <v>521.0</v>
      </c>
      <c r="J25" s="15">
        <v>543.0</v>
      </c>
      <c r="K25" s="15">
        <v>58.0</v>
      </c>
      <c r="L25" s="15">
        <v>264.0</v>
      </c>
      <c r="M25" s="15">
        <v>309.0</v>
      </c>
      <c r="N25" s="15">
        <v>38.53517</v>
      </c>
      <c r="O25" s="2"/>
      <c r="P25" s="16" t="b">
        <f t="shared" ref="P25:R25" si="24">C25=K25</f>
        <v>1</v>
      </c>
      <c r="Q25" s="16" t="b">
        <f t="shared" si="24"/>
        <v>1</v>
      </c>
      <c r="R25" s="16" t="b">
        <f t="shared" si="24"/>
        <v>1</v>
      </c>
      <c r="S25" s="17">
        <f t="shared" si="3"/>
        <v>543</v>
      </c>
      <c r="T25" s="18">
        <f t="shared" si="4"/>
        <v>11.40294178</v>
      </c>
      <c r="U25" s="8"/>
      <c r="V25" s="8"/>
      <c r="W25" s="2"/>
      <c r="X25" s="2"/>
      <c r="Y25" s="2"/>
      <c r="Z25" s="2"/>
      <c r="AA25" s="2"/>
      <c r="AB25" s="2"/>
      <c r="AC25" s="2"/>
    </row>
    <row r="26">
      <c r="A26" s="15">
        <v>522.0</v>
      </c>
      <c r="B26" s="15">
        <v>296.0</v>
      </c>
      <c r="C26" s="15">
        <v>43.0</v>
      </c>
      <c r="D26" s="15">
        <v>213.0</v>
      </c>
      <c r="E26" s="15">
        <v>251.0</v>
      </c>
      <c r="F26" s="15">
        <v>242.0427</v>
      </c>
      <c r="G26" s="15"/>
      <c r="H26" s="5"/>
      <c r="I26" s="15">
        <v>522.0</v>
      </c>
      <c r="J26" s="15">
        <v>296.0</v>
      </c>
      <c r="K26" s="15">
        <v>43.0</v>
      </c>
      <c r="L26" s="15">
        <v>213.0</v>
      </c>
      <c r="M26" s="15">
        <v>251.0</v>
      </c>
      <c r="N26" s="15">
        <v>30.72515</v>
      </c>
      <c r="O26" s="2"/>
      <c r="P26" s="16" t="b">
        <f t="shared" ref="P26:R26" si="25">C26=K26</f>
        <v>1</v>
      </c>
      <c r="Q26" s="16" t="b">
        <f t="shared" si="25"/>
        <v>1</v>
      </c>
      <c r="R26" s="16" t="b">
        <f t="shared" si="25"/>
        <v>1</v>
      </c>
      <c r="S26" s="17">
        <f t="shared" si="3"/>
        <v>296</v>
      </c>
      <c r="T26" s="18">
        <f t="shared" si="4"/>
        <v>7.877673502</v>
      </c>
      <c r="U26" s="8"/>
      <c r="V26" s="8"/>
      <c r="W26" s="2"/>
      <c r="X26" s="2"/>
      <c r="Y26" s="2"/>
      <c r="Z26" s="2"/>
      <c r="AA26" s="2"/>
      <c r="AB26" s="2"/>
      <c r="AC26" s="2"/>
    </row>
    <row r="27">
      <c r="A27" s="15">
        <v>523.0</v>
      </c>
      <c r="B27" s="15">
        <v>569.0</v>
      </c>
      <c r="C27" s="15">
        <v>54.0</v>
      </c>
      <c r="D27" s="15">
        <v>434.0</v>
      </c>
      <c r="E27" s="15">
        <v>481.0</v>
      </c>
      <c r="F27" s="15">
        <v>479.0886</v>
      </c>
      <c r="G27" s="15"/>
      <c r="H27" s="5"/>
      <c r="I27" s="15">
        <v>523.0</v>
      </c>
      <c r="J27" s="15">
        <v>569.0</v>
      </c>
      <c r="K27" s="15">
        <v>54.0</v>
      </c>
      <c r="L27" s="15">
        <v>434.0</v>
      </c>
      <c r="M27" s="15">
        <v>481.0</v>
      </c>
      <c r="N27" s="15">
        <v>40.4073</v>
      </c>
      <c r="O27" s="2"/>
      <c r="P27" s="16" t="b">
        <f t="shared" ref="P27:R27" si="26">C27=K27</f>
        <v>1</v>
      </c>
      <c r="Q27" s="16" t="b">
        <f t="shared" si="26"/>
        <v>1</v>
      </c>
      <c r="R27" s="16" t="b">
        <f t="shared" si="26"/>
        <v>1</v>
      </c>
      <c r="S27" s="17">
        <f t="shared" si="3"/>
        <v>569</v>
      </c>
      <c r="T27" s="18">
        <f t="shared" si="4"/>
        <v>11.85648633</v>
      </c>
      <c r="U27" s="8"/>
      <c r="V27" s="8"/>
      <c r="W27" s="2"/>
      <c r="X27" s="2"/>
      <c r="Y27" s="2"/>
      <c r="Z27" s="2"/>
      <c r="AA27" s="2"/>
      <c r="AB27" s="2"/>
      <c r="AC27" s="2"/>
    </row>
    <row r="28">
      <c r="A28" s="15">
        <v>524.0</v>
      </c>
      <c r="B28" s="15">
        <v>507.0</v>
      </c>
      <c r="C28" s="15">
        <v>47.0</v>
      </c>
      <c r="D28" s="15">
        <v>58.0</v>
      </c>
      <c r="E28" s="15">
        <v>93.0</v>
      </c>
      <c r="F28" s="15">
        <v>412.8943</v>
      </c>
      <c r="G28" s="15"/>
      <c r="H28" s="5"/>
      <c r="I28" s="15">
        <v>524.0</v>
      </c>
      <c r="J28" s="15">
        <v>507.0</v>
      </c>
      <c r="K28" s="15">
        <v>47.0</v>
      </c>
      <c r="L28" s="15">
        <v>58.0</v>
      </c>
      <c r="M28" s="15">
        <v>93.0</v>
      </c>
      <c r="N28" s="15">
        <v>36.86429</v>
      </c>
      <c r="O28" s="2"/>
      <c r="P28" s="16" t="b">
        <f t="shared" ref="P28:R28" si="27">C28=K28</f>
        <v>1</v>
      </c>
      <c r="Q28" s="16" t="b">
        <f t="shared" si="27"/>
        <v>1</v>
      </c>
      <c r="R28" s="16" t="b">
        <f t="shared" si="27"/>
        <v>1</v>
      </c>
      <c r="S28" s="17">
        <f t="shared" si="3"/>
        <v>507</v>
      </c>
      <c r="T28" s="18">
        <f t="shared" si="4"/>
        <v>11.20038661</v>
      </c>
      <c r="U28" s="8"/>
      <c r="V28" s="8"/>
      <c r="W28" s="2"/>
      <c r="X28" s="2"/>
      <c r="Y28" s="2"/>
      <c r="Z28" s="2"/>
      <c r="AA28" s="2"/>
      <c r="AB28" s="2"/>
      <c r="AC28" s="2"/>
    </row>
    <row r="29">
      <c r="A29" s="15">
        <v>525.0</v>
      </c>
      <c r="B29" s="15">
        <v>614.0</v>
      </c>
      <c r="C29" s="15">
        <v>49.0</v>
      </c>
      <c r="D29" s="15">
        <v>435.0</v>
      </c>
      <c r="E29" s="15">
        <v>482.0</v>
      </c>
      <c r="F29" s="15">
        <v>512.9234</v>
      </c>
      <c r="G29" s="15"/>
      <c r="H29" s="5"/>
      <c r="I29" s="15">
        <v>525.0</v>
      </c>
      <c r="J29" s="15">
        <v>614.0</v>
      </c>
      <c r="K29" s="15">
        <v>49.0</v>
      </c>
      <c r="L29" s="15">
        <v>435.0</v>
      </c>
      <c r="M29" s="15">
        <v>482.0</v>
      </c>
      <c r="N29" s="15">
        <v>40.21056</v>
      </c>
      <c r="O29" s="2"/>
      <c r="P29" s="16" t="b">
        <f t="shared" ref="P29:R29" si="28">C29=K29</f>
        <v>1</v>
      </c>
      <c r="Q29" s="16" t="b">
        <f t="shared" si="28"/>
        <v>1</v>
      </c>
      <c r="R29" s="16" t="b">
        <f t="shared" si="28"/>
        <v>1</v>
      </c>
      <c r="S29" s="17">
        <f t="shared" si="3"/>
        <v>614</v>
      </c>
      <c r="T29" s="18">
        <f t="shared" si="4"/>
        <v>12.75593774</v>
      </c>
      <c r="U29" s="8"/>
      <c r="V29" s="8"/>
      <c r="W29" s="2"/>
      <c r="X29" s="2"/>
      <c r="Y29" s="2"/>
      <c r="Z29" s="2"/>
      <c r="AA29" s="2"/>
      <c r="AB29" s="2"/>
      <c r="AC29" s="2"/>
    </row>
    <row r="30">
      <c r="A30" s="15">
        <v>526.0</v>
      </c>
      <c r="B30" s="15">
        <v>444.0</v>
      </c>
      <c r="C30" s="15">
        <v>44.0</v>
      </c>
      <c r="D30" s="15">
        <v>104.0</v>
      </c>
      <c r="E30" s="15">
        <v>146.0</v>
      </c>
      <c r="F30" s="15">
        <v>368.6025</v>
      </c>
      <c r="G30" s="15"/>
      <c r="H30" s="5"/>
      <c r="I30" s="15">
        <v>526.0</v>
      </c>
      <c r="J30" s="15">
        <v>444.0</v>
      </c>
      <c r="K30" s="15">
        <v>44.0</v>
      </c>
      <c r="L30" s="15">
        <v>104.0</v>
      </c>
      <c r="M30" s="15">
        <v>146.0</v>
      </c>
      <c r="N30" s="15">
        <v>35.98029</v>
      </c>
      <c r="O30" s="2"/>
      <c r="P30" s="16" t="b">
        <f t="shared" ref="P30:R30" si="29">C30=K30</f>
        <v>1</v>
      </c>
      <c r="Q30" s="16" t="b">
        <f t="shared" si="29"/>
        <v>1</v>
      </c>
      <c r="R30" s="16" t="b">
        <f t="shared" si="29"/>
        <v>1</v>
      </c>
      <c r="S30" s="17">
        <f t="shared" si="3"/>
        <v>444</v>
      </c>
      <c r="T30" s="18">
        <f t="shared" si="4"/>
        <v>10.24456723</v>
      </c>
      <c r="U30" s="8"/>
      <c r="V30" s="8"/>
      <c r="W30" s="2"/>
      <c r="X30" s="2"/>
      <c r="Y30" s="2"/>
      <c r="Z30" s="2"/>
      <c r="AA30" s="2"/>
      <c r="AB30" s="2"/>
      <c r="AC30" s="2"/>
    </row>
    <row r="31">
      <c r="A31" s="15">
        <v>527.0</v>
      </c>
      <c r="B31" s="15">
        <v>273.0</v>
      </c>
      <c r="C31" s="15">
        <v>47.0</v>
      </c>
      <c r="D31" s="15">
        <v>154.0</v>
      </c>
      <c r="E31" s="15">
        <v>192.0</v>
      </c>
      <c r="F31" s="15">
        <v>220.7309</v>
      </c>
      <c r="G31" s="15"/>
      <c r="H31" s="5"/>
      <c r="I31" s="15">
        <v>527.0</v>
      </c>
      <c r="J31" s="15">
        <v>273.0</v>
      </c>
      <c r="K31" s="15">
        <v>47.0</v>
      </c>
      <c r="L31" s="15">
        <v>154.0</v>
      </c>
      <c r="M31" s="15">
        <v>192.0</v>
      </c>
      <c r="N31" s="15">
        <v>31.37859</v>
      </c>
      <c r="O31" s="2"/>
      <c r="P31" s="16" t="b">
        <f t="shared" ref="P31:R31" si="30">C31=K31</f>
        <v>1</v>
      </c>
      <c r="Q31" s="16" t="b">
        <f t="shared" si="30"/>
        <v>1</v>
      </c>
      <c r="R31" s="16" t="b">
        <f t="shared" si="30"/>
        <v>1</v>
      </c>
      <c r="S31" s="17">
        <f t="shared" si="3"/>
        <v>273</v>
      </c>
      <c r="T31" s="18">
        <f t="shared" si="4"/>
        <v>7.034442912</v>
      </c>
      <c r="U31" s="8"/>
      <c r="V31" s="8"/>
      <c r="W31" s="2"/>
      <c r="X31" s="2"/>
      <c r="Y31" s="2"/>
      <c r="Z31" s="2"/>
      <c r="AA31" s="2"/>
      <c r="AB31" s="2"/>
      <c r="AC31" s="2"/>
    </row>
    <row r="32">
      <c r="A32" s="15">
        <v>528.0</v>
      </c>
      <c r="B32" s="15">
        <v>2696.0</v>
      </c>
      <c r="C32" s="15">
        <v>58.0</v>
      </c>
      <c r="D32" s="15">
        <v>2246.0</v>
      </c>
      <c r="E32" s="15">
        <v>2284.0</v>
      </c>
      <c r="F32" s="15">
        <v>2274.509</v>
      </c>
      <c r="G32" s="15"/>
      <c r="H32" s="5"/>
      <c r="I32" s="15">
        <v>528.0</v>
      </c>
      <c r="J32" s="15">
        <v>2696.0</v>
      </c>
      <c r="K32" s="15">
        <v>58.0</v>
      </c>
      <c r="L32" s="15">
        <v>2246.0</v>
      </c>
      <c r="M32" s="15">
        <v>2284.0</v>
      </c>
      <c r="N32" s="15">
        <v>101.1077</v>
      </c>
      <c r="O32" s="2"/>
      <c r="P32" s="16" t="b">
        <f t="shared" ref="P32:R32" si="31">C32=K32</f>
        <v>1</v>
      </c>
      <c r="Q32" s="16" t="b">
        <f t="shared" si="31"/>
        <v>1</v>
      </c>
      <c r="R32" s="16" t="b">
        <f t="shared" si="31"/>
        <v>1</v>
      </c>
      <c r="S32" s="17">
        <f t="shared" si="3"/>
        <v>2696</v>
      </c>
      <c r="T32" s="18">
        <f t="shared" si="4"/>
        <v>22.49590288</v>
      </c>
      <c r="U32" s="8"/>
      <c r="V32" s="8"/>
      <c r="W32" s="2"/>
      <c r="X32" s="2"/>
      <c r="Y32" s="2"/>
      <c r="Z32" s="2"/>
      <c r="AA32" s="2"/>
      <c r="AB32" s="2"/>
      <c r="AC32" s="2"/>
    </row>
    <row r="33">
      <c r="A33" s="15">
        <v>529.0</v>
      </c>
      <c r="B33" s="15">
        <v>1345.0</v>
      </c>
      <c r="C33" s="15">
        <v>59.0</v>
      </c>
      <c r="D33" s="15">
        <v>206.0</v>
      </c>
      <c r="E33" s="15">
        <v>260.0</v>
      </c>
      <c r="F33" s="15">
        <v>1101.81</v>
      </c>
      <c r="G33" s="15"/>
      <c r="H33" s="5"/>
      <c r="I33" s="15">
        <v>529.0</v>
      </c>
      <c r="J33" s="15">
        <v>1345.0</v>
      </c>
      <c r="K33" s="15">
        <v>59.0</v>
      </c>
      <c r="L33" s="15">
        <v>206.0</v>
      </c>
      <c r="M33" s="15">
        <v>260.0</v>
      </c>
      <c r="N33" s="15">
        <v>64.89497</v>
      </c>
      <c r="O33" s="2"/>
      <c r="P33" s="16" t="b">
        <f t="shared" ref="P33:R33" si="32">C33=K33</f>
        <v>1</v>
      </c>
      <c r="Q33" s="16" t="b">
        <f t="shared" si="32"/>
        <v>1</v>
      </c>
      <c r="R33" s="16" t="b">
        <f t="shared" si="32"/>
        <v>1</v>
      </c>
      <c r="S33" s="17">
        <f t="shared" si="3"/>
        <v>1345</v>
      </c>
      <c r="T33" s="18">
        <f t="shared" si="4"/>
        <v>16.97835749</v>
      </c>
      <c r="U33" s="8"/>
      <c r="V33" s="8"/>
      <c r="W33" s="2"/>
      <c r="X33" s="2"/>
      <c r="Y33" s="2"/>
      <c r="Z33" s="2"/>
      <c r="AA33" s="2"/>
      <c r="AB33" s="2"/>
      <c r="AC33" s="2"/>
    </row>
    <row r="34">
      <c r="A34" s="15">
        <v>530.0</v>
      </c>
      <c r="B34" s="15">
        <v>234.0</v>
      </c>
      <c r="C34" s="15">
        <v>43.0</v>
      </c>
      <c r="D34" s="15">
        <v>62.0</v>
      </c>
      <c r="E34" s="15">
        <v>99.0</v>
      </c>
      <c r="F34" s="15">
        <v>191.0891</v>
      </c>
      <c r="G34" s="15"/>
      <c r="H34" s="5"/>
      <c r="I34" s="15">
        <v>530.0</v>
      </c>
      <c r="J34" s="15">
        <v>234.0</v>
      </c>
      <c r="K34" s="15">
        <v>43.0</v>
      </c>
      <c r="L34" s="15">
        <v>62.0</v>
      </c>
      <c r="M34" s="15">
        <v>99.0</v>
      </c>
      <c r="N34" s="15">
        <v>29.40826</v>
      </c>
      <c r="O34" s="2"/>
      <c r="P34" s="16" t="b">
        <f t="shared" ref="P34:R34" si="33">C34=K34</f>
        <v>1</v>
      </c>
      <c r="Q34" s="16" t="b">
        <f t="shared" si="33"/>
        <v>1</v>
      </c>
      <c r="R34" s="16" t="b">
        <f t="shared" si="33"/>
        <v>1</v>
      </c>
      <c r="S34" s="17">
        <f t="shared" si="3"/>
        <v>234</v>
      </c>
      <c r="T34" s="18">
        <f t="shared" si="4"/>
        <v>6.497803678</v>
      </c>
      <c r="U34" s="8"/>
      <c r="V34" s="8"/>
      <c r="W34" s="2"/>
      <c r="X34" s="2"/>
      <c r="Y34" s="2"/>
      <c r="Z34" s="2"/>
      <c r="AA34" s="2"/>
      <c r="AB34" s="2"/>
      <c r="AC34" s="2"/>
    </row>
    <row r="35">
      <c r="A35" s="15">
        <v>531.0</v>
      </c>
      <c r="B35" s="15">
        <v>328.0</v>
      </c>
      <c r="C35" s="15">
        <v>49.0</v>
      </c>
      <c r="D35" s="15">
        <v>249.0</v>
      </c>
      <c r="E35" s="15">
        <v>281.0</v>
      </c>
      <c r="F35" s="15">
        <v>270.1953</v>
      </c>
      <c r="G35" s="15"/>
      <c r="H35" s="5"/>
      <c r="I35" s="15">
        <v>531.0</v>
      </c>
      <c r="J35" s="15">
        <v>328.0</v>
      </c>
      <c r="K35" s="15">
        <v>49.0</v>
      </c>
      <c r="L35" s="15">
        <v>249.0</v>
      </c>
      <c r="M35" s="15">
        <v>281.0</v>
      </c>
      <c r="N35" s="15">
        <v>32.2263</v>
      </c>
      <c r="O35" s="2"/>
      <c r="P35" s="16" t="b">
        <f t="shared" ref="P35:R35" si="34">C35=K35</f>
        <v>1</v>
      </c>
      <c r="Q35" s="16" t="b">
        <f t="shared" si="34"/>
        <v>1</v>
      </c>
      <c r="R35" s="16" t="b">
        <f t="shared" si="34"/>
        <v>1</v>
      </c>
      <c r="S35" s="17">
        <f t="shared" si="3"/>
        <v>328</v>
      </c>
      <c r="T35" s="18">
        <f t="shared" si="4"/>
        <v>8.38431033</v>
      </c>
      <c r="U35" s="8"/>
      <c r="V35" s="8"/>
      <c r="W35" s="2"/>
      <c r="X35" s="2"/>
      <c r="Y35" s="2"/>
      <c r="Z35" s="2"/>
      <c r="AA35" s="2"/>
      <c r="AB35" s="2"/>
      <c r="AC35" s="2"/>
    </row>
    <row r="36">
      <c r="A36" s="15">
        <v>532.0</v>
      </c>
      <c r="B36" s="15">
        <v>596.0</v>
      </c>
      <c r="C36" s="15">
        <v>54.0</v>
      </c>
      <c r="D36" s="15">
        <v>262.0</v>
      </c>
      <c r="E36" s="15">
        <v>313.0</v>
      </c>
      <c r="F36" s="15">
        <v>498.9805</v>
      </c>
      <c r="G36" s="15"/>
      <c r="H36" s="5"/>
      <c r="I36" s="15">
        <v>532.0</v>
      </c>
      <c r="J36" s="15">
        <v>596.0</v>
      </c>
      <c r="K36" s="15">
        <v>54.0</v>
      </c>
      <c r="L36" s="15">
        <v>262.0</v>
      </c>
      <c r="M36" s="15">
        <v>313.0</v>
      </c>
      <c r="N36" s="15">
        <v>43.78009</v>
      </c>
      <c r="O36" s="2"/>
      <c r="P36" s="16" t="b">
        <f t="shared" ref="P36:R36" si="35">C36=K36</f>
        <v>1</v>
      </c>
      <c r="Q36" s="16" t="b">
        <f t="shared" si="35"/>
        <v>1</v>
      </c>
      <c r="R36" s="16" t="b">
        <f t="shared" si="35"/>
        <v>1</v>
      </c>
      <c r="S36" s="17">
        <f t="shared" si="3"/>
        <v>596</v>
      </c>
      <c r="T36" s="18">
        <f t="shared" si="4"/>
        <v>11.39742974</v>
      </c>
      <c r="U36" s="8"/>
      <c r="V36" s="8"/>
      <c r="W36" s="2"/>
      <c r="X36" s="2"/>
      <c r="Y36" s="2"/>
      <c r="Z36" s="2"/>
      <c r="AA36" s="2"/>
      <c r="AB36" s="2"/>
      <c r="AC36" s="2"/>
    </row>
    <row r="37">
      <c r="A37" s="15">
        <v>533.0</v>
      </c>
      <c r="B37" s="15">
        <v>351.0</v>
      </c>
      <c r="C37" s="15">
        <v>49.0</v>
      </c>
      <c r="D37" s="15">
        <v>81.0</v>
      </c>
      <c r="E37" s="15">
        <v>130.0</v>
      </c>
      <c r="F37" s="15">
        <v>287.1175</v>
      </c>
      <c r="G37" s="15"/>
      <c r="H37" s="5"/>
      <c r="I37" s="15">
        <v>533.0</v>
      </c>
      <c r="J37" s="15">
        <v>351.0</v>
      </c>
      <c r="K37" s="15">
        <v>49.0</v>
      </c>
      <c r="L37" s="15">
        <v>81.0</v>
      </c>
      <c r="M37" s="15">
        <v>130.0</v>
      </c>
      <c r="N37" s="15">
        <v>35.11702</v>
      </c>
      <c r="O37" s="2"/>
      <c r="P37" s="16" t="b">
        <f t="shared" ref="P37:R37" si="36">C37=K37</f>
        <v>1</v>
      </c>
      <c r="Q37" s="16" t="b">
        <f t="shared" si="36"/>
        <v>1</v>
      </c>
      <c r="R37" s="16" t="b">
        <f t="shared" si="36"/>
        <v>1</v>
      </c>
      <c r="S37" s="17">
        <f t="shared" si="3"/>
        <v>351</v>
      </c>
      <c r="T37" s="18">
        <f t="shared" si="4"/>
        <v>8.1760212</v>
      </c>
      <c r="U37" s="8"/>
      <c r="V37" s="8"/>
      <c r="W37" s="2"/>
      <c r="X37" s="2"/>
      <c r="Y37" s="2"/>
      <c r="Z37" s="2"/>
      <c r="AA37" s="2"/>
      <c r="AB37" s="2"/>
      <c r="AC37" s="2"/>
    </row>
    <row r="38">
      <c r="A38" s="15">
        <v>534.0</v>
      </c>
      <c r="B38" s="15">
        <v>332.0</v>
      </c>
      <c r="C38" s="15">
        <v>46.0</v>
      </c>
      <c r="D38" s="15">
        <v>119.0</v>
      </c>
      <c r="E38" s="15">
        <v>156.0</v>
      </c>
      <c r="F38" s="15">
        <v>271.3728</v>
      </c>
      <c r="G38" s="15"/>
      <c r="H38" s="5"/>
      <c r="I38" s="15">
        <v>534.0</v>
      </c>
      <c r="J38" s="15">
        <v>332.0</v>
      </c>
      <c r="K38" s="15">
        <v>46.0</v>
      </c>
      <c r="L38" s="15">
        <v>119.0</v>
      </c>
      <c r="M38" s="15">
        <v>156.0</v>
      </c>
      <c r="N38" s="15">
        <v>31.48698</v>
      </c>
      <c r="O38" s="2"/>
      <c r="P38" s="16" t="b">
        <f t="shared" ref="P38:R38" si="37">C38=K38</f>
        <v>1</v>
      </c>
      <c r="Q38" s="16" t="b">
        <f t="shared" si="37"/>
        <v>1</v>
      </c>
      <c r="R38" s="16" t="b">
        <f t="shared" si="37"/>
        <v>1</v>
      </c>
      <c r="S38" s="17">
        <f t="shared" si="3"/>
        <v>332</v>
      </c>
      <c r="T38" s="18">
        <f t="shared" si="4"/>
        <v>8.618571867</v>
      </c>
      <c r="U38" s="8"/>
      <c r="V38" s="8"/>
      <c r="W38" s="2"/>
      <c r="X38" s="2"/>
      <c r="Y38" s="2"/>
      <c r="Z38" s="2"/>
      <c r="AA38" s="2"/>
      <c r="AB38" s="2"/>
      <c r="AC38" s="2"/>
    </row>
    <row r="39">
      <c r="A39" s="15">
        <v>535.0</v>
      </c>
      <c r="B39" s="15">
        <v>416.0</v>
      </c>
      <c r="C39" s="15">
        <v>48.0</v>
      </c>
      <c r="D39" s="15">
        <v>5.0</v>
      </c>
      <c r="E39" s="15">
        <v>52.0</v>
      </c>
      <c r="F39" s="15">
        <v>343.0541</v>
      </c>
      <c r="G39" s="15"/>
      <c r="H39" s="5"/>
      <c r="I39" s="15">
        <v>535.0</v>
      </c>
      <c r="J39" s="15">
        <v>416.0</v>
      </c>
      <c r="K39" s="15">
        <v>48.0</v>
      </c>
      <c r="L39" s="15">
        <v>5.0</v>
      </c>
      <c r="M39" s="15">
        <v>52.0</v>
      </c>
      <c r="N39" s="15">
        <v>36.78515</v>
      </c>
      <c r="O39" s="2"/>
      <c r="P39" s="16" t="b">
        <f t="shared" ref="P39:R39" si="38">C39=K39</f>
        <v>1</v>
      </c>
      <c r="Q39" s="16" t="b">
        <f t="shared" si="38"/>
        <v>1</v>
      </c>
      <c r="R39" s="16" t="b">
        <f t="shared" si="38"/>
        <v>1</v>
      </c>
      <c r="S39" s="17">
        <f t="shared" si="3"/>
        <v>416</v>
      </c>
      <c r="T39" s="18">
        <f t="shared" si="4"/>
        <v>9.325885582</v>
      </c>
      <c r="U39" s="8"/>
      <c r="V39" s="8"/>
      <c r="W39" s="2"/>
      <c r="X39" s="2"/>
      <c r="Y39" s="2"/>
      <c r="Z39" s="2"/>
      <c r="AA39" s="2"/>
      <c r="AB39" s="2"/>
      <c r="AC39" s="2"/>
    </row>
    <row r="40">
      <c r="A40" s="15">
        <v>536.0</v>
      </c>
      <c r="B40" s="15">
        <v>226.0</v>
      </c>
      <c r="C40" s="15">
        <v>43.0</v>
      </c>
      <c r="D40" s="15">
        <v>124.0</v>
      </c>
      <c r="E40" s="15">
        <v>146.0</v>
      </c>
      <c r="F40" s="15">
        <v>190.5756</v>
      </c>
      <c r="G40" s="15"/>
      <c r="H40" s="5"/>
      <c r="I40" s="15">
        <v>536.0</v>
      </c>
      <c r="J40" s="15">
        <v>226.0</v>
      </c>
      <c r="K40" s="15">
        <v>43.0</v>
      </c>
      <c r="L40" s="15">
        <v>124.0</v>
      </c>
      <c r="M40" s="15">
        <v>146.0</v>
      </c>
      <c r="N40" s="15">
        <v>24.57056</v>
      </c>
      <c r="O40" s="2"/>
      <c r="P40" s="16" t="b">
        <f t="shared" ref="P40:R40" si="39">C40=K40</f>
        <v>1</v>
      </c>
      <c r="Q40" s="16" t="b">
        <f t="shared" si="39"/>
        <v>1</v>
      </c>
      <c r="R40" s="16" t="b">
        <f t="shared" si="39"/>
        <v>1</v>
      </c>
      <c r="S40" s="17">
        <f t="shared" si="3"/>
        <v>226</v>
      </c>
      <c r="T40" s="18">
        <f t="shared" si="4"/>
        <v>7.756257896</v>
      </c>
      <c r="U40" s="8"/>
      <c r="V40" s="8"/>
      <c r="W40" s="2"/>
      <c r="X40" s="2"/>
      <c r="Y40" s="2"/>
      <c r="Z40" s="2"/>
      <c r="AA40" s="2"/>
      <c r="AB40" s="2"/>
      <c r="AC40" s="2"/>
    </row>
    <row r="41">
      <c r="A41" s="15">
        <v>537.0</v>
      </c>
      <c r="B41" s="15">
        <v>1410.0</v>
      </c>
      <c r="C41" s="15">
        <v>52.0</v>
      </c>
      <c r="D41" s="15">
        <v>171.0</v>
      </c>
      <c r="E41" s="15">
        <v>214.0</v>
      </c>
      <c r="F41" s="15">
        <v>1172.694</v>
      </c>
      <c r="G41" s="15"/>
      <c r="H41" s="5"/>
      <c r="I41" s="15">
        <v>537.0</v>
      </c>
      <c r="J41" s="15">
        <v>1410.0</v>
      </c>
      <c r="K41" s="15">
        <v>52.0</v>
      </c>
      <c r="L41" s="15">
        <v>171.0</v>
      </c>
      <c r="M41" s="15">
        <v>214.0</v>
      </c>
      <c r="N41" s="15">
        <v>64.62259</v>
      </c>
      <c r="O41" s="2"/>
      <c r="P41" s="16" t="b">
        <f t="shared" ref="P41:R41" si="40">C41=K41</f>
        <v>1</v>
      </c>
      <c r="Q41" s="16" t="b">
        <f t="shared" si="40"/>
        <v>1</v>
      </c>
      <c r="R41" s="16" t="b">
        <f t="shared" si="40"/>
        <v>1</v>
      </c>
      <c r="S41" s="17">
        <f t="shared" si="3"/>
        <v>1410</v>
      </c>
      <c r="T41" s="18">
        <f t="shared" si="4"/>
        <v>18.14681213</v>
      </c>
      <c r="U41" s="8"/>
      <c r="V41" s="8"/>
      <c r="W41" s="2"/>
      <c r="X41" s="2"/>
      <c r="Y41" s="2"/>
      <c r="Z41" s="2"/>
      <c r="AA41" s="2"/>
      <c r="AB41" s="2"/>
      <c r="AC41" s="2"/>
    </row>
    <row r="42">
      <c r="A42" s="15">
        <v>538.0</v>
      </c>
      <c r="B42" s="15">
        <v>476.0</v>
      </c>
      <c r="C42" s="15">
        <v>46.0</v>
      </c>
      <c r="D42" s="15">
        <v>367.0</v>
      </c>
      <c r="E42" s="15">
        <v>416.0</v>
      </c>
      <c r="F42" s="15">
        <v>395.845</v>
      </c>
      <c r="G42" s="15"/>
      <c r="H42" s="5"/>
      <c r="I42" s="15">
        <v>538.0</v>
      </c>
      <c r="J42" s="15">
        <v>476.0</v>
      </c>
      <c r="K42" s="15">
        <v>46.0</v>
      </c>
      <c r="L42" s="15">
        <v>367.0</v>
      </c>
      <c r="M42" s="15">
        <v>416.0</v>
      </c>
      <c r="N42" s="15">
        <v>36.92135</v>
      </c>
      <c r="O42" s="2"/>
      <c r="P42" s="16" t="b">
        <f t="shared" ref="P42:R42" si="41">C42=K42</f>
        <v>1</v>
      </c>
      <c r="Q42" s="16" t="b">
        <f t="shared" si="41"/>
        <v>1</v>
      </c>
      <c r="R42" s="16" t="b">
        <f t="shared" si="41"/>
        <v>1</v>
      </c>
      <c r="S42" s="17">
        <f t="shared" si="3"/>
        <v>476</v>
      </c>
      <c r="T42" s="18">
        <f t="shared" si="4"/>
        <v>10.72130353</v>
      </c>
      <c r="U42" s="8"/>
      <c r="V42" s="8"/>
      <c r="W42" s="2"/>
      <c r="X42" s="2"/>
      <c r="Y42" s="2"/>
      <c r="Z42" s="2"/>
      <c r="AA42" s="2"/>
      <c r="AB42" s="2"/>
      <c r="AC42" s="2"/>
    </row>
    <row r="43">
      <c r="A43" s="15">
        <v>539.0</v>
      </c>
      <c r="B43" s="15">
        <v>172.0</v>
      </c>
      <c r="C43" s="15">
        <v>47.0</v>
      </c>
      <c r="D43" s="15">
        <v>114.0</v>
      </c>
      <c r="E43" s="15">
        <v>151.0</v>
      </c>
      <c r="F43" s="15">
        <v>140.083</v>
      </c>
      <c r="G43" s="15"/>
      <c r="H43" s="5"/>
      <c r="I43" s="15">
        <v>539.0</v>
      </c>
      <c r="J43" s="15">
        <v>172.0</v>
      </c>
      <c r="K43" s="15">
        <v>47.0</v>
      </c>
      <c r="L43" s="15">
        <v>114.0</v>
      </c>
      <c r="M43" s="15">
        <v>151.0</v>
      </c>
      <c r="N43" s="15">
        <v>27.35411</v>
      </c>
      <c r="O43" s="2"/>
      <c r="P43" s="16" t="b">
        <f t="shared" ref="P43:R43" si="42">C43=K43</f>
        <v>1</v>
      </c>
      <c r="Q43" s="16" t="b">
        <f t="shared" si="42"/>
        <v>1</v>
      </c>
      <c r="R43" s="16" t="b">
        <f t="shared" si="42"/>
        <v>1</v>
      </c>
      <c r="S43" s="17">
        <f t="shared" si="3"/>
        <v>172</v>
      </c>
      <c r="T43" s="18">
        <f t="shared" si="4"/>
        <v>5.121095148</v>
      </c>
      <c r="U43" s="8"/>
      <c r="V43" s="8"/>
      <c r="W43" s="2"/>
      <c r="X43" s="2"/>
      <c r="Y43" s="2"/>
      <c r="Z43" s="2"/>
      <c r="AA43" s="2"/>
      <c r="AB43" s="2"/>
      <c r="AC43" s="2"/>
    </row>
    <row r="44">
      <c r="A44" s="15">
        <v>540.0</v>
      </c>
      <c r="B44" s="15">
        <v>604.0</v>
      </c>
      <c r="C44" s="15">
        <v>54.0</v>
      </c>
      <c r="D44" s="15">
        <v>101.0</v>
      </c>
      <c r="E44" s="15">
        <v>139.0</v>
      </c>
      <c r="F44" s="15">
        <v>490.5555</v>
      </c>
      <c r="G44" s="15"/>
      <c r="H44" s="5"/>
      <c r="I44" s="15">
        <v>540.0</v>
      </c>
      <c r="J44" s="15">
        <v>604.0</v>
      </c>
      <c r="K44" s="15">
        <v>54.0</v>
      </c>
      <c r="L44" s="15">
        <v>101.0</v>
      </c>
      <c r="M44" s="15">
        <v>139.0</v>
      </c>
      <c r="N44" s="15">
        <v>40.43571</v>
      </c>
      <c r="O44" s="2"/>
      <c r="P44" s="16" t="b">
        <f t="shared" ref="P44:R44" si="43">C44=K44</f>
        <v>1</v>
      </c>
      <c r="Q44" s="16" t="b">
        <f t="shared" si="43"/>
        <v>1</v>
      </c>
      <c r="R44" s="16" t="b">
        <f t="shared" si="43"/>
        <v>1</v>
      </c>
      <c r="S44" s="17">
        <f t="shared" si="3"/>
        <v>604</v>
      </c>
      <c r="T44" s="18">
        <f t="shared" si="4"/>
        <v>12.13173949</v>
      </c>
      <c r="U44" s="8"/>
      <c r="V44" s="8"/>
      <c r="W44" s="2"/>
      <c r="X44" s="2"/>
      <c r="Y44" s="2"/>
      <c r="Z44" s="2"/>
      <c r="AA44" s="2"/>
      <c r="AB44" s="2"/>
      <c r="AC44" s="2"/>
    </row>
    <row r="45">
      <c r="A45" s="15">
        <v>541.0</v>
      </c>
      <c r="B45" s="15">
        <v>337.0</v>
      </c>
      <c r="C45" s="15">
        <v>43.0</v>
      </c>
      <c r="D45" s="15">
        <v>7.0</v>
      </c>
      <c r="E45" s="15">
        <v>49.0</v>
      </c>
      <c r="F45" s="15">
        <v>277.8005</v>
      </c>
      <c r="G45" s="15"/>
      <c r="H45" s="5"/>
      <c r="I45" s="15">
        <v>541.0</v>
      </c>
      <c r="J45" s="15">
        <v>337.0</v>
      </c>
      <c r="K45" s="15">
        <v>43.0</v>
      </c>
      <c r="L45" s="15">
        <v>7.0</v>
      </c>
      <c r="M45" s="15">
        <v>49.0</v>
      </c>
      <c r="N45" s="15">
        <v>33.24416</v>
      </c>
      <c r="O45" s="2"/>
      <c r="P45" s="16" t="b">
        <f t="shared" ref="P45:R45" si="44">C45=K45</f>
        <v>1</v>
      </c>
      <c r="Q45" s="16" t="b">
        <f t="shared" si="44"/>
        <v>1</v>
      </c>
      <c r="R45" s="16" t="b">
        <f t="shared" si="44"/>
        <v>1</v>
      </c>
      <c r="S45" s="17">
        <f t="shared" si="3"/>
        <v>337</v>
      </c>
      <c r="T45" s="18">
        <f t="shared" si="4"/>
        <v>8.356369961</v>
      </c>
      <c r="U45" s="8"/>
      <c r="V45" s="8"/>
      <c r="W45" s="2"/>
      <c r="X45" s="2"/>
      <c r="Y45" s="2"/>
      <c r="Z45" s="2"/>
      <c r="AA45" s="2"/>
      <c r="AB45" s="2"/>
      <c r="AC45" s="2"/>
    </row>
    <row r="46">
      <c r="A46" s="15">
        <v>542.0</v>
      </c>
      <c r="B46" s="15">
        <v>450.0</v>
      </c>
      <c r="C46" s="15">
        <v>48.0</v>
      </c>
      <c r="D46" s="15">
        <v>267.0</v>
      </c>
      <c r="E46" s="15">
        <v>314.0</v>
      </c>
      <c r="F46" s="15">
        <v>371.773</v>
      </c>
      <c r="G46" s="15"/>
      <c r="H46" s="5"/>
      <c r="I46" s="15">
        <v>542.0</v>
      </c>
      <c r="J46" s="15">
        <v>450.0</v>
      </c>
      <c r="K46" s="15">
        <v>48.0</v>
      </c>
      <c r="L46" s="15">
        <v>267.0</v>
      </c>
      <c r="M46" s="15">
        <v>314.0</v>
      </c>
      <c r="N46" s="15">
        <v>36.6559</v>
      </c>
      <c r="O46" s="2"/>
      <c r="P46" s="16" t="b">
        <f t="shared" ref="P46:R46" si="45">C46=K46</f>
        <v>1</v>
      </c>
      <c r="Q46" s="16" t="b">
        <f t="shared" si="45"/>
        <v>1</v>
      </c>
      <c r="R46" s="16" t="b">
        <f t="shared" si="45"/>
        <v>1</v>
      </c>
      <c r="S46" s="17">
        <f t="shared" si="3"/>
        <v>450</v>
      </c>
      <c r="T46" s="18">
        <f t="shared" si="4"/>
        <v>10.14224177</v>
      </c>
      <c r="U46" s="8"/>
      <c r="V46" s="8"/>
      <c r="W46" s="2"/>
      <c r="X46" s="2"/>
      <c r="Y46" s="2"/>
      <c r="Z46" s="2"/>
      <c r="AA46" s="2"/>
      <c r="AB46" s="2"/>
      <c r="AC46" s="2"/>
    </row>
    <row r="47">
      <c r="A47" s="15">
        <v>543.0</v>
      </c>
      <c r="B47" s="15">
        <v>343.0</v>
      </c>
      <c r="C47" s="15">
        <v>49.0</v>
      </c>
      <c r="D47" s="15">
        <v>116.0</v>
      </c>
      <c r="E47" s="15">
        <v>160.0</v>
      </c>
      <c r="F47" s="15">
        <v>305.1613</v>
      </c>
      <c r="G47" s="15"/>
      <c r="H47" s="5"/>
      <c r="I47" s="15">
        <v>543.0</v>
      </c>
      <c r="J47" s="15">
        <v>343.0</v>
      </c>
      <c r="K47" s="15">
        <v>49.0</v>
      </c>
      <c r="L47" s="15">
        <v>116.0</v>
      </c>
      <c r="M47" s="15">
        <v>160.0</v>
      </c>
      <c r="N47" s="15">
        <v>34.80893</v>
      </c>
      <c r="O47" s="2"/>
      <c r="P47" s="16" t="b">
        <f t="shared" ref="P47:R47" si="46">C47=K47</f>
        <v>1</v>
      </c>
      <c r="Q47" s="16" t="b">
        <f t="shared" si="46"/>
        <v>1</v>
      </c>
      <c r="R47" s="16" t="b">
        <f t="shared" si="46"/>
        <v>1</v>
      </c>
      <c r="S47" s="17">
        <f t="shared" si="3"/>
        <v>343</v>
      </c>
      <c r="T47" s="18">
        <f t="shared" si="4"/>
        <v>8.766753244</v>
      </c>
      <c r="U47" s="8"/>
      <c r="V47" s="8"/>
      <c r="W47" s="2"/>
      <c r="X47" s="2"/>
      <c r="Y47" s="2"/>
      <c r="Z47" s="2"/>
      <c r="AA47" s="2"/>
      <c r="AB47" s="2"/>
      <c r="AC47" s="2"/>
    </row>
    <row r="48">
      <c r="A48" s="15">
        <v>544.0</v>
      </c>
      <c r="B48" s="15">
        <v>420.0</v>
      </c>
      <c r="C48" s="15">
        <v>50.0</v>
      </c>
      <c r="D48" s="15">
        <v>366.0</v>
      </c>
      <c r="E48" s="15">
        <v>409.0</v>
      </c>
      <c r="F48" s="15">
        <v>363.4767</v>
      </c>
      <c r="G48" s="15"/>
      <c r="H48" s="5"/>
      <c r="I48" s="15">
        <v>544.0</v>
      </c>
      <c r="J48" s="15">
        <v>420.0</v>
      </c>
      <c r="K48" s="15">
        <v>50.0</v>
      </c>
      <c r="L48" s="15">
        <v>366.0</v>
      </c>
      <c r="M48" s="15">
        <v>409.0</v>
      </c>
      <c r="N48" s="15">
        <v>33.56467</v>
      </c>
      <c r="O48" s="2"/>
      <c r="P48" s="16" t="b">
        <f t="shared" ref="P48:R48" si="47">C48=K48</f>
        <v>1</v>
      </c>
      <c r="Q48" s="16" t="b">
        <f t="shared" si="47"/>
        <v>1</v>
      </c>
      <c r="R48" s="16" t="b">
        <f t="shared" si="47"/>
        <v>1</v>
      </c>
      <c r="S48" s="17">
        <f t="shared" si="3"/>
        <v>420</v>
      </c>
      <c r="T48" s="18">
        <f t="shared" si="4"/>
        <v>10.82914565</v>
      </c>
      <c r="U48" s="8"/>
      <c r="V48" s="8"/>
      <c r="W48" s="2"/>
      <c r="X48" s="2"/>
      <c r="Y48" s="2"/>
      <c r="Z48" s="2"/>
      <c r="AA48" s="2"/>
      <c r="AB48" s="2"/>
      <c r="AC48" s="2"/>
    </row>
    <row r="49">
      <c r="A49" s="15">
        <v>545.0</v>
      </c>
      <c r="B49" s="15">
        <v>358.0</v>
      </c>
      <c r="C49" s="15">
        <v>41.0</v>
      </c>
      <c r="D49" s="15">
        <v>226.0</v>
      </c>
      <c r="E49" s="15">
        <v>253.0</v>
      </c>
      <c r="F49" s="15">
        <v>311.5311</v>
      </c>
      <c r="G49" s="15"/>
      <c r="H49" s="5"/>
      <c r="I49" s="15">
        <v>545.0</v>
      </c>
      <c r="J49" s="15">
        <v>358.0</v>
      </c>
      <c r="K49" s="15">
        <v>41.0</v>
      </c>
      <c r="L49" s="15">
        <v>226.0</v>
      </c>
      <c r="M49" s="15">
        <v>253.0</v>
      </c>
      <c r="N49" s="15">
        <v>28.05555</v>
      </c>
      <c r="O49" s="2"/>
      <c r="P49" s="16" t="b">
        <f t="shared" ref="P49:R49" si="48">C49=K49</f>
        <v>1</v>
      </c>
      <c r="Q49" s="16" t="b">
        <f t="shared" si="48"/>
        <v>1</v>
      </c>
      <c r="R49" s="16" t="b">
        <f t="shared" si="48"/>
        <v>1</v>
      </c>
      <c r="S49" s="17">
        <f t="shared" si="3"/>
        <v>358</v>
      </c>
      <c r="T49" s="18">
        <f t="shared" si="4"/>
        <v>11.10408101</v>
      </c>
      <c r="U49" s="8"/>
      <c r="V49" s="8"/>
      <c r="W49" s="2"/>
      <c r="X49" s="2"/>
      <c r="Y49" s="2"/>
      <c r="Z49" s="2"/>
      <c r="AA49" s="2"/>
      <c r="AB49" s="2"/>
      <c r="AC49" s="2"/>
    </row>
    <row r="50">
      <c r="A50" s="15">
        <v>546.0</v>
      </c>
      <c r="B50" s="15">
        <v>448.0</v>
      </c>
      <c r="C50" s="15">
        <v>54.0</v>
      </c>
      <c r="D50" s="15">
        <v>291.0</v>
      </c>
      <c r="E50" s="15">
        <v>330.0</v>
      </c>
      <c r="F50" s="15">
        <v>381.7023</v>
      </c>
      <c r="G50" s="15"/>
      <c r="H50" s="5"/>
      <c r="I50" s="15">
        <v>546.0</v>
      </c>
      <c r="J50" s="15">
        <v>448.0</v>
      </c>
      <c r="K50" s="15">
        <v>54.0</v>
      </c>
      <c r="L50" s="15">
        <v>291.0</v>
      </c>
      <c r="M50" s="15">
        <v>330.0</v>
      </c>
      <c r="N50" s="15">
        <v>35.71923</v>
      </c>
      <c r="O50" s="2"/>
      <c r="P50" s="16" t="b">
        <f t="shared" ref="P50:R50" si="49">C50=K50</f>
        <v>1</v>
      </c>
      <c r="Q50" s="16" t="b">
        <f t="shared" si="49"/>
        <v>1</v>
      </c>
      <c r="R50" s="16" t="b">
        <f t="shared" si="49"/>
        <v>1</v>
      </c>
      <c r="S50" s="17">
        <f t="shared" si="3"/>
        <v>448</v>
      </c>
      <c r="T50" s="18">
        <f t="shared" si="4"/>
        <v>10.686185</v>
      </c>
      <c r="U50" s="8"/>
      <c r="V50" s="8"/>
      <c r="W50" s="2"/>
      <c r="X50" s="2"/>
      <c r="Y50" s="2"/>
      <c r="Z50" s="2"/>
      <c r="AA50" s="2"/>
      <c r="AB50" s="2"/>
      <c r="AC50" s="2"/>
    </row>
    <row r="51">
      <c r="A51" s="15">
        <v>547.0</v>
      </c>
      <c r="B51" s="15">
        <v>1767.0</v>
      </c>
      <c r="C51" s="15">
        <v>57.0</v>
      </c>
      <c r="D51" s="15">
        <v>157.0</v>
      </c>
      <c r="E51" s="15">
        <v>206.0</v>
      </c>
      <c r="F51" s="15">
        <v>1568.179</v>
      </c>
      <c r="G51" s="15"/>
      <c r="H51" s="5"/>
      <c r="I51" s="15">
        <v>547.0</v>
      </c>
      <c r="J51" s="15">
        <v>1767.0</v>
      </c>
      <c r="K51" s="15">
        <v>57.0</v>
      </c>
      <c r="L51" s="15">
        <v>157.0</v>
      </c>
      <c r="M51" s="15">
        <v>206.0</v>
      </c>
      <c r="N51" s="15">
        <v>75.10733</v>
      </c>
      <c r="O51" s="2"/>
      <c r="P51" s="16" t="b">
        <f t="shared" ref="P51:R51" si="50">C51=K51</f>
        <v>1</v>
      </c>
      <c r="Q51" s="16" t="b">
        <f t="shared" si="50"/>
        <v>1</v>
      </c>
      <c r="R51" s="16" t="b">
        <f t="shared" si="50"/>
        <v>1</v>
      </c>
      <c r="S51" s="17">
        <f t="shared" si="3"/>
        <v>1767</v>
      </c>
      <c r="T51" s="18">
        <f t="shared" si="4"/>
        <v>20.87917384</v>
      </c>
      <c r="U51" s="8"/>
      <c r="V51" s="8"/>
      <c r="W51" s="2"/>
      <c r="X51" s="2"/>
      <c r="Y51" s="2"/>
      <c r="Z51" s="2"/>
      <c r="AA51" s="2"/>
      <c r="AB51" s="2"/>
      <c r="AC51" s="2"/>
    </row>
    <row r="52">
      <c r="A52" s="15">
        <v>548.0</v>
      </c>
      <c r="B52" s="15">
        <v>582.0</v>
      </c>
      <c r="C52" s="15">
        <v>42.0</v>
      </c>
      <c r="D52" s="15">
        <v>4.0</v>
      </c>
      <c r="E52" s="15">
        <v>41.0</v>
      </c>
      <c r="F52" s="15">
        <v>498.1574</v>
      </c>
      <c r="G52" s="15"/>
      <c r="H52" s="5"/>
      <c r="I52" s="15">
        <v>548.0</v>
      </c>
      <c r="J52" s="15">
        <v>582.0</v>
      </c>
      <c r="K52" s="15">
        <v>42.0</v>
      </c>
      <c r="L52" s="15">
        <v>4.0</v>
      </c>
      <c r="M52" s="15">
        <v>41.0</v>
      </c>
      <c r="N52" s="15">
        <v>38.59434</v>
      </c>
      <c r="O52" s="2"/>
      <c r="P52" s="16" t="b">
        <f t="shared" ref="P52:R52" si="51">C52=K52</f>
        <v>1</v>
      </c>
      <c r="Q52" s="16" t="b">
        <f t="shared" si="51"/>
        <v>1</v>
      </c>
      <c r="R52" s="16" t="b">
        <f t="shared" si="51"/>
        <v>1</v>
      </c>
      <c r="S52" s="17">
        <f t="shared" si="3"/>
        <v>582</v>
      </c>
      <c r="T52" s="18">
        <f t="shared" si="4"/>
        <v>12.90752478</v>
      </c>
      <c r="U52" s="8"/>
      <c r="V52" s="8"/>
      <c r="W52" s="2"/>
      <c r="X52" s="2"/>
      <c r="Y52" s="2"/>
      <c r="Z52" s="2"/>
      <c r="AA52" s="2"/>
      <c r="AB52" s="2"/>
      <c r="AC52" s="2"/>
    </row>
    <row r="53">
      <c r="A53" s="15">
        <v>549.0</v>
      </c>
      <c r="B53" s="15">
        <v>426.0</v>
      </c>
      <c r="C53" s="15">
        <v>58.0</v>
      </c>
      <c r="D53" s="15">
        <v>151.0</v>
      </c>
      <c r="E53" s="15">
        <v>188.0</v>
      </c>
      <c r="F53" s="15">
        <v>347.5646</v>
      </c>
      <c r="G53" s="15"/>
      <c r="H53" s="5"/>
      <c r="I53" s="15">
        <v>549.0</v>
      </c>
      <c r="J53" s="15">
        <v>426.0</v>
      </c>
      <c r="K53" s="15">
        <v>58.0</v>
      </c>
      <c r="L53" s="15">
        <v>151.0</v>
      </c>
      <c r="M53" s="15">
        <v>188.0</v>
      </c>
      <c r="N53" s="15">
        <v>36.0448</v>
      </c>
      <c r="O53" s="2"/>
      <c r="P53" s="16" t="b">
        <f t="shared" ref="P53:R53" si="52">C53=K53</f>
        <v>1</v>
      </c>
      <c r="Q53" s="16" t="b">
        <f t="shared" si="52"/>
        <v>1</v>
      </c>
      <c r="R53" s="16" t="b">
        <f t="shared" si="52"/>
        <v>1</v>
      </c>
      <c r="S53" s="17">
        <f t="shared" si="3"/>
        <v>426</v>
      </c>
      <c r="T53" s="18">
        <f t="shared" si="4"/>
        <v>9.642572576</v>
      </c>
      <c r="U53" s="8"/>
      <c r="V53" s="8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5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5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5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5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5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5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5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5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5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5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5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5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5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5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5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5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5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5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5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5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5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5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5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5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5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5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5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5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5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5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5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5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5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5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5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5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5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5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5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5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5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5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5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5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5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5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5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5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5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5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5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5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5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5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5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5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5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5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5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5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5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5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5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5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5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5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5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5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5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5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5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5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5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5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5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5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5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5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5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5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5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5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5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5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5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5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5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5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5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5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5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5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5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5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5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5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5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5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5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5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5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5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5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5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5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5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5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5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5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5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5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5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5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5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5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5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5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5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5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5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5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5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5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5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5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5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5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5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5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5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5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5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5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5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5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5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5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5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5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5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5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5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5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5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5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5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5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5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5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5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5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5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5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5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5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5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5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5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5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5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5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5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5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5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5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5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5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5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5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5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5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5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5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5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5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5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5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5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5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5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5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5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5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5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5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5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5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5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5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5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5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5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5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5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5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5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5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5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5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5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5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5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5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5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5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5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5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5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5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5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5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5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5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5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5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5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5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5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5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5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5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5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5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5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5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5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5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5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5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5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5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5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5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5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5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5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5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5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5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5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5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5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5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5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5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5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5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5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5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5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5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5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5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5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5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5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5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5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5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5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5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5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5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5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5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5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5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5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5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5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5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5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5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5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5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5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5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5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5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5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5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5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5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5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5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5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5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5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5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5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5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5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5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5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5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5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5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5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5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5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5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5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5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5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5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5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5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5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5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5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5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5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5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5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5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5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5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5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5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5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5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5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5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5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5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5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5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5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5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5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5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5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5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5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5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5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5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5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5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5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5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5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5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5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5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5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5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5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5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5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5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5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5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5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5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5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5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5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5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5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5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5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5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5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5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5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5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5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5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5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5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5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5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5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5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5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5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5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5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5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5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5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5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5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5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5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5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5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5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5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5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5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5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5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5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5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5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5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5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5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5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5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5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5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5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5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5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5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5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5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5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5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5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5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5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5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5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5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5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5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5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5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5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5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5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5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5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5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5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5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5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5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5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5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5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5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5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5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5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5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5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5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5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5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5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5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5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5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5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5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5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5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5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5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5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5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5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5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5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5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5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5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5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5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5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5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5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5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5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5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5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5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5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5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5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5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5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5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5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5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5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5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5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5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5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5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5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5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5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5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5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5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5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5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5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5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5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5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5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5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5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5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5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5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5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5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5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5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5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5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5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5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5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5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5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5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5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5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5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5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5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5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5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5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5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5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5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5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5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5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5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5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5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5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5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5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5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5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5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5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5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5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5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5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5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5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5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5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5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5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5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5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5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5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5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5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5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5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5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5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5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5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5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5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5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5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5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5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5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5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5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5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5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5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5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5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5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5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5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5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5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5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5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5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5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5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5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5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5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5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5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5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5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5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5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5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5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5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5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5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5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5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5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5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5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5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5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5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5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5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5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5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5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5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5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5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5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5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5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5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5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5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5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5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5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5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5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5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5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5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5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5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5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5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5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5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5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5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5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5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5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5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5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5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5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5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5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5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5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5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5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5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5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5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5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5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5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5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5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5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5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5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5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5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5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5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5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5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5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5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5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5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5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5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5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5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5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5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5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5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5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5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5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5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5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5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5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5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5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5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5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5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5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5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5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5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5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5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5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5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5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5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5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5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5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5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5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5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5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5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5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5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5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5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5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5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5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5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5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5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5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5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5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5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5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5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5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5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5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5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5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5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5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5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5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O1"/>
    <mergeCell ref="A2:G2"/>
    <mergeCell ref="I2:O2"/>
    <mergeCell ref="P2:R2"/>
    <mergeCell ref="T2:V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27</v>
      </c>
      <c r="J1" s="2"/>
      <c r="K1" s="3" t="s">
        <v>28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4" t="s">
        <v>2</v>
      </c>
      <c r="H2" s="5"/>
      <c r="I2" s="6" t="s">
        <v>3</v>
      </c>
      <c r="P2" s="7" t="s">
        <v>4</v>
      </c>
      <c r="S2" s="8"/>
      <c r="T2" s="9" t="s">
        <v>5</v>
      </c>
      <c r="W2" s="2"/>
      <c r="X2" s="2"/>
      <c r="Y2" s="2"/>
      <c r="Z2" s="2"/>
      <c r="AA2" s="2"/>
      <c r="AB2" s="2"/>
      <c r="AC2" s="2"/>
    </row>
    <row r="3">
      <c r="A3" s="10" t="s">
        <v>6</v>
      </c>
      <c r="B3" s="10" t="s">
        <v>7</v>
      </c>
      <c r="C3" s="10" t="s">
        <v>8</v>
      </c>
      <c r="D3" s="10" t="s">
        <v>9</v>
      </c>
      <c r="E3" s="10" t="s">
        <v>10</v>
      </c>
      <c r="F3" s="11" t="s">
        <v>11</v>
      </c>
      <c r="G3" s="11" t="s">
        <v>20</v>
      </c>
      <c r="H3" s="12" t="s">
        <v>12</v>
      </c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  <c r="N3" s="11" t="s">
        <v>11</v>
      </c>
      <c r="O3" s="11" t="s">
        <v>20</v>
      </c>
      <c r="P3" s="13" t="s">
        <v>8</v>
      </c>
      <c r="Q3" s="13" t="s">
        <v>13</v>
      </c>
      <c r="R3" s="13" t="s">
        <v>10</v>
      </c>
      <c r="S3" s="13" t="s">
        <v>7</v>
      </c>
      <c r="T3" s="14" t="s">
        <v>5</v>
      </c>
      <c r="U3" s="8"/>
      <c r="V3" s="8"/>
      <c r="W3" s="2"/>
      <c r="X3" s="2"/>
      <c r="Y3" s="2"/>
      <c r="Z3" s="2"/>
      <c r="AA3" s="2"/>
      <c r="AB3" s="2"/>
      <c r="AC3" s="2"/>
    </row>
    <row r="4">
      <c r="A4" s="15">
        <v>250.0</v>
      </c>
      <c r="B4" s="15">
        <v>953.0</v>
      </c>
      <c r="C4" s="15">
        <v>60.0</v>
      </c>
      <c r="D4" s="15">
        <v>16.0</v>
      </c>
      <c r="E4" s="15">
        <v>63.0</v>
      </c>
      <c r="F4" s="15">
        <v>799.2808</v>
      </c>
      <c r="G4" s="15"/>
      <c r="H4" s="5">
        <f>MAX(C:C)</f>
        <v>262</v>
      </c>
      <c r="I4" s="15">
        <v>250.0</v>
      </c>
      <c r="J4" s="15">
        <v>953.0</v>
      </c>
      <c r="K4" s="15">
        <v>60.0</v>
      </c>
      <c r="L4" s="15">
        <v>16.0</v>
      </c>
      <c r="M4" s="15">
        <v>63.0</v>
      </c>
      <c r="N4" s="15">
        <v>46.76608</v>
      </c>
      <c r="O4" s="2"/>
      <c r="P4" s="16" t="b">
        <f t="shared" ref="P4:R4" si="1">C4=K4</f>
        <v>1</v>
      </c>
      <c r="Q4" s="16" t="b">
        <f t="shared" si="1"/>
        <v>1</v>
      </c>
      <c r="R4" s="16" t="b">
        <f t="shared" si="1"/>
        <v>1</v>
      </c>
      <c r="S4" s="17">
        <f t="shared" ref="S4:S53" si="3">J4</f>
        <v>953</v>
      </c>
      <c r="T4" s="18">
        <f t="shared" ref="T4:T53" si="4">F4/N4</f>
        <v>17.09103692</v>
      </c>
      <c r="U4" s="19" t="s">
        <v>14</v>
      </c>
      <c r="V4" s="20">
        <f>AVERAGE(T:T)</f>
        <v>14.76324944</v>
      </c>
      <c r="W4" s="2"/>
      <c r="X4" s="2"/>
      <c r="Y4" s="2"/>
      <c r="Z4" s="2"/>
      <c r="AA4" s="2"/>
      <c r="AB4" s="2"/>
      <c r="AC4" s="2"/>
    </row>
    <row r="5">
      <c r="A5" s="15">
        <v>251.0</v>
      </c>
      <c r="B5" s="15">
        <v>864.0</v>
      </c>
      <c r="C5" s="15">
        <v>47.0</v>
      </c>
      <c r="D5" s="15">
        <v>421.0</v>
      </c>
      <c r="E5" s="15">
        <v>447.0</v>
      </c>
      <c r="F5" s="15">
        <v>715.2716</v>
      </c>
      <c r="G5" s="15"/>
      <c r="H5" s="12" t="s">
        <v>15</v>
      </c>
      <c r="I5" s="15">
        <v>251.0</v>
      </c>
      <c r="J5" s="15">
        <v>864.0</v>
      </c>
      <c r="K5" s="15">
        <v>47.0</v>
      </c>
      <c r="L5" s="15">
        <v>421.0</v>
      </c>
      <c r="M5" s="15">
        <v>447.0</v>
      </c>
      <c r="N5" s="15">
        <v>44.1641</v>
      </c>
      <c r="O5" s="2"/>
      <c r="P5" s="16" t="b">
        <f t="shared" ref="P5:R5" si="2">C5=K5</f>
        <v>1</v>
      </c>
      <c r="Q5" s="16" t="b">
        <f t="shared" si="2"/>
        <v>1</v>
      </c>
      <c r="R5" s="16" t="b">
        <f t="shared" si="2"/>
        <v>1</v>
      </c>
      <c r="S5" s="17">
        <f t="shared" si="3"/>
        <v>864</v>
      </c>
      <c r="T5" s="18">
        <f t="shared" si="4"/>
        <v>16.19576987</v>
      </c>
      <c r="U5" s="19" t="s">
        <v>16</v>
      </c>
      <c r="V5" s="20">
        <f>max(T:T)</f>
        <v>18.36654558</v>
      </c>
      <c r="W5" s="2"/>
      <c r="X5" s="2"/>
      <c r="Y5" s="2"/>
      <c r="Z5" s="2"/>
      <c r="AA5" s="2"/>
      <c r="AB5" s="2"/>
      <c r="AC5" s="2"/>
    </row>
    <row r="6">
      <c r="A6" s="15">
        <v>252.0</v>
      </c>
      <c r="B6" s="15">
        <v>871.0</v>
      </c>
      <c r="C6" s="15">
        <v>51.0</v>
      </c>
      <c r="D6" s="15">
        <v>678.0</v>
      </c>
      <c r="E6" s="15">
        <v>732.0</v>
      </c>
      <c r="F6" s="15">
        <v>718.2679</v>
      </c>
      <c r="G6" s="15"/>
      <c r="H6" s="5">
        <f t="array" ref="H6">INDEX(A:A, MATCH(H4, C:C, 0))</f>
        <v>256</v>
      </c>
      <c r="I6" s="15">
        <v>252.0</v>
      </c>
      <c r="J6" s="15">
        <v>871.0</v>
      </c>
      <c r="K6" s="15">
        <v>51.0</v>
      </c>
      <c r="L6" s="15">
        <v>678.0</v>
      </c>
      <c r="M6" s="15">
        <v>732.0</v>
      </c>
      <c r="N6" s="15">
        <v>49.50528</v>
      </c>
      <c r="O6" s="2"/>
      <c r="P6" s="16" t="b">
        <f t="shared" ref="P6:R6" si="5">C6=K6</f>
        <v>1</v>
      </c>
      <c r="Q6" s="16" t="b">
        <f t="shared" si="5"/>
        <v>1</v>
      </c>
      <c r="R6" s="16" t="b">
        <f t="shared" si="5"/>
        <v>1</v>
      </c>
      <c r="S6" s="17">
        <f t="shared" si="3"/>
        <v>871</v>
      </c>
      <c r="T6" s="18">
        <f t="shared" si="4"/>
        <v>14.50891501</v>
      </c>
      <c r="U6" s="19" t="s">
        <v>17</v>
      </c>
      <c r="V6" s="20">
        <f>MIN(T:T)</f>
        <v>11.31108837</v>
      </c>
      <c r="W6" s="2"/>
      <c r="X6" s="2"/>
      <c r="Y6" s="2"/>
      <c r="Z6" s="2"/>
      <c r="AA6" s="2"/>
      <c r="AB6" s="2"/>
      <c r="AC6" s="2"/>
    </row>
    <row r="7">
      <c r="A7" s="15">
        <v>253.0</v>
      </c>
      <c r="B7" s="15">
        <v>1014.0</v>
      </c>
      <c r="C7" s="15">
        <v>51.0</v>
      </c>
      <c r="D7" s="15">
        <v>919.0</v>
      </c>
      <c r="E7" s="15">
        <v>970.0</v>
      </c>
      <c r="F7" s="15">
        <v>838.3086</v>
      </c>
      <c r="G7" s="15"/>
      <c r="H7" s="5"/>
      <c r="I7" s="15">
        <v>253.0</v>
      </c>
      <c r="J7" s="15">
        <v>1014.0</v>
      </c>
      <c r="K7" s="15">
        <v>51.0</v>
      </c>
      <c r="L7" s="15">
        <v>919.0</v>
      </c>
      <c r="M7" s="15">
        <v>970.0</v>
      </c>
      <c r="N7" s="15">
        <v>54.74512</v>
      </c>
      <c r="O7" s="2"/>
      <c r="P7" s="16" t="b">
        <f t="shared" ref="P7:R7" si="6">C7=K7</f>
        <v>1</v>
      </c>
      <c r="Q7" s="16" t="b">
        <f t="shared" si="6"/>
        <v>1</v>
      </c>
      <c r="R7" s="16" t="b">
        <f t="shared" si="6"/>
        <v>1</v>
      </c>
      <c r="S7" s="17">
        <f t="shared" si="3"/>
        <v>1014</v>
      </c>
      <c r="T7" s="18">
        <f t="shared" si="4"/>
        <v>15.31293748</v>
      </c>
      <c r="U7" s="8"/>
      <c r="V7" s="8"/>
      <c r="W7" s="2"/>
      <c r="X7" s="2"/>
      <c r="Y7" s="2"/>
      <c r="Z7" s="2"/>
      <c r="AA7" s="2"/>
      <c r="AB7" s="2"/>
      <c r="AC7" s="2"/>
    </row>
    <row r="8">
      <c r="A8" s="15">
        <v>254.0</v>
      </c>
      <c r="B8" s="15">
        <v>882.0</v>
      </c>
      <c r="C8" s="15">
        <v>53.0</v>
      </c>
      <c r="D8" s="15">
        <v>6.0</v>
      </c>
      <c r="E8" s="15">
        <v>48.0</v>
      </c>
      <c r="F8" s="15">
        <v>718.2181</v>
      </c>
      <c r="G8" s="15"/>
      <c r="H8" s="5"/>
      <c r="I8" s="15">
        <v>254.0</v>
      </c>
      <c r="J8" s="15">
        <v>882.0</v>
      </c>
      <c r="K8" s="15">
        <v>53.0</v>
      </c>
      <c r="L8" s="15">
        <v>6.0</v>
      </c>
      <c r="M8" s="15">
        <v>48.0</v>
      </c>
      <c r="N8" s="15">
        <v>46.93104</v>
      </c>
      <c r="O8" s="2"/>
      <c r="P8" s="16" t="b">
        <f t="shared" ref="P8:R8" si="7">C8=K8</f>
        <v>1</v>
      </c>
      <c r="Q8" s="16" t="b">
        <f t="shared" si="7"/>
        <v>1</v>
      </c>
      <c r="R8" s="16" t="b">
        <f t="shared" si="7"/>
        <v>1</v>
      </c>
      <c r="S8" s="17">
        <f t="shared" si="3"/>
        <v>882</v>
      </c>
      <c r="T8" s="18">
        <f t="shared" si="4"/>
        <v>15.30369027</v>
      </c>
      <c r="U8" s="8"/>
      <c r="V8" s="8"/>
      <c r="W8" s="2"/>
      <c r="X8" s="2"/>
      <c r="Y8" s="2"/>
      <c r="Z8" s="2"/>
      <c r="AA8" s="2"/>
      <c r="AB8" s="2"/>
      <c r="AC8" s="2"/>
    </row>
    <row r="9">
      <c r="A9" s="15">
        <v>255.0</v>
      </c>
      <c r="B9" s="15">
        <v>591.0</v>
      </c>
      <c r="C9" s="15">
        <v>67.0</v>
      </c>
      <c r="D9" s="15">
        <v>13.0</v>
      </c>
      <c r="E9" s="15">
        <v>56.0</v>
      </c>
      <c r="F9" s="15">
        <v>483.1666</v>
      </c>
      <c r="G9" s="15"/>
      <c r="H9" s="5"/>
      <c r="I9" s="15">
        <v>255.0</v>
      </c>
      <c r="J9" s="15">
        <v>591.0</v>
      </c>
      <c r="K9" s="15">
        <v>67.0</v>
      </c>
      <c r="L9" s="15">
        <v>13.0</v>
      </c>
      <c r="M9" s="15">
        <v>56.0</v>
      </c>
      <c r="N9" s="15">
        <v>42.71619</v>
      </c>
      <c r="O9" s="2"/>
      <c r="P9" s="16" t="b">
        <f t="shared" ref="P9:R9" si="8">C9=K9</f>
        <v>1</v>
      </c>
      <c r="Q9" s="16" t="b">
        <f t="shared" si="8"/>
        <v>1</v>
      </c>
      <c r="R9" s="16" t="b">
        <f t="shared" si="8"/>
        <v>1</v>
      </c>
      <c r="S9" s="17">
        <f t="shared" si="3"/>
        <v>591</v>
      </c>
      <c r="T9" s="18">
        <f t="shared" si="4"/>
        <v>11.31108837</v>
      </c>
      <c r="U9" s="8"/>
      <c r="V9" s="8"/>
      <c r="W9" s="2"/>
      <c r="X9" s="2"/>
      <c r="Y9" s="2"/>
      <c r="Z9" s="2"/>
      <c r="AA9" s="2"/>
      <c r="AB9" s="2"/>
      <c r="AC9" s="2"/>
    </row>
    <row r="10">
      <c r="A10" s="15">
        <v>256.0</v>
      </c>
      <c r="B10" s="15">
        <v>1072.0</v>
      </c>
      <c r="C10" s="15">
        <v>262.0</v>
      </c>
      <c r="D10" s="15">
        <v>1.0</v>
      </c>
      <c r="E10" s="15">
        <v>50.0</v>
      </c>
      <c r="F10" s="15">
        <v>876.892</v>
      </c>
      <c r="G10" s="15"/>
      <c r="H10" s="5"/>
      <c r="I10" s="15">
        <v>256.0</v>
      </c>
      <c r="J10" s="15">
        <v>1072.0</v>
      </c>
      <c r="K10" s="15">
        <v>262.0</v>
      </c>
      <c r="L10" s="15">
        <v>1.0</v>
      </c>
      <c r="M10" s="15">
        <v>50.0</v>
      </c>
      <c r="N10" s="15">
        <v>55.28986</v>
      </c>
      <c r="O10" s="2"/>
      <c r="P10" s="16" t="b">
        <f t="shared" ref="P10:R10" si="9">C10=K10</f>
        <v>1</v>
      </c>
      <c r="Q10" s="16" t="b">
        <f t="shared" si="9"/>
        <v>1</v>
      </c>
      <c r="R10" s="16" t="b">
        <f t="shared" si="9"/>
        <v>1</v>
      </c>
      <c r="S10" s="17">
        <f t="shared" si="3"/>
        <v>1072</v>
      </c>
      <c r="T10" s="18">
        <f t="shared" si="4"/>
        <v>15.85990632</v>
      </c>
      <c r="U10" s="8"/>
      <c r="V10" s="8"/>
      <c r="W10" s="2"/>
      <c r="X10" s="2"/>
      <c r="Y10" s="2"/>
      <c r="Z10" s="2"/>
      <c r="AA10" s="2"/>
      <c r="AB10" s="2"/>
      <c r="AC10" s="2"/>
    </row>
    <row r="11">
      <c r="A11" s="15">
        <v>257.0</v>
      </c>
      <c r="B11" s="15">
        <v>885.0</v>
      </c>
      <c r="C11" s="15">
        <v>52.0</v>
      </c>
      <c r="D11" s="15">
        <v>2.0</v>
      </c>
      <c r="E11" s="15">
        <v>52.0</v>
      </c>
      <c r="F11" s="15">
        <v>725.5044</v>
      </c>
      <c r="G11" s="15"/>
      <c r="H11" s="5"/>
      <c r="I11" s="15">
        <v>257.0</v>
      </c>
      <c r="J11" s="15">
        <v>885.0</v>
      </c>
      <c r="K11" s="15">
        <v>52.0</v>
      </c>
      <c r="L11" s="15">
        <v>2.0</v>
      </c>
      <c r="M11" s="15">
        <v>52.0</v>
      </c>
      <c r="N11" s="15">
        <v>50.20493</v>
      </c>
      <c r="O11" s="2"/>
      <c r="P11" s="16" t="b">
        <f t="shared" ref="P11:R11" si="10">C11=K11</f>
        <v>1</v>
      </c>
      <c r="Q11" s="16" t="b">
        <f t="shared" si="10"/>
        <v>1</v>
      </c>
      <c r="R11" s="16" t="b">
        <f t="shared" si="10"/>
        <v>1</v>
      </c>
      <c r="S11" s="17">
        <f t="shared" si="3"/>
        <v>885</v>
      </c>
      <c r="T11" s="18">
        <f t="shared" si="4"/>
        <v>14.45085971</v>
      </c>
      <c r="U11" s="8"/>
      <c r="V11" s="8"/>
      <c r="W11" s="2"/>
      <c r="X11" s="2"/>
      <c r="Y11" s="2"/>
      <c r="Z11" s="2"/>
      <c r="AA11" s="2"/>
      <c r="AB11" s="2"/>
      <c r="AC11" s="2"/>
    </row>
    <row r="12">
      <c r="A12" s="15">
        <v>258.0</v>
      </c>
      <c r="B12" s="15">
        <v>890.0</v>
      </c>
      <c r="C12" s="15">
        <v>51.0</v>
      </c>
      <c r="D12" s="15">
        <v>454.0</v>
      </c>
      <c r="E12" s="15">
        <v>495.0</v>
      </c>
      <c r="F12" s="15">
        <v>724.9999</v>
      </c>
      <c r="G12" s="15"/>
      <c r="H12" s="5"/>
      <c r="I12" s="15">
        <v>258.0</v>
      </c>
      <c r="J12" s="15">
        <v>890.0</v>
      </c>
      <c r="K12" s="15">
        <v>51.0</v>
      </c>
      <c r="L12" s="15">
        <v>454.0</v>
      </c>
      <c r="M12" s="15">
        <v>495.0</v>
      </c>
      <c r="N12" s="15">
        <v>50.10637</v>
      </c>
      <c r="O12" s="2"/>
      <c r="P12" s="16" t="b">
        <f t="shared" ref="P12:R12" si="11">C12=K12</f>
        <v>1</v>
      </c>
      <c r="Q12" s="16" t="b">
        <f t="shared" si="11"/>
        <v>1</v>
      </c>
      <c r="R12" s="16" t="b">
        <f t="shared" si="11"/>
        <v>1</v>
      </c>
      <c r="S12" s="17">
        <f t="shared" si="3"/>
        <v>890</v>
      </c>
      <c r="T12" s="18">
        <f t="shared" si="4"/>
        <v>14.46921619</v>
      </c>
      <c r="U12" s="8"/>
      <c r="V12" s="8"/>
      <c r="W12" s="2"/>
      <c r="X12" s="2"/>
      <c r="Y12" s="2"/>
      <c r="Z12" s="2"/>
      <c r="AA12" s="2"/>
      <c r="AB12" s="2"/>
      <c r="AC12" s="2"/>
    </row>
    <row r="13">
      <c r="A13" s="15">
        <v>259.0</v>
      </c>
      <c r="B13" s="15">
        <v>876.0</v>
      </c>
      <c r="C13" s="15">
        <v>48.0</v>
      </c>
      <c r="D13" s="15">
        <v>680.0</v>
      </c>
      <c r="E13" s="15">
        <v>735.0</v>
      </c>
      <c r="F13" s="15">
        <v>719.8752</v>
      </c>
      <c r="G13" s="15"/>
      <c r="H13" s="5"/>
      <c r="I13" s="15">
        <v>259.0</v>
      </c>
      <c r="J13" s="15">
        <v>876.0</v>
      </c>
      <c r="K13" s="15">
        <v>48.0</v>
      </c>
      <c r="L13" s="15">
        <v>680.0</v>
      </c>
      <c r="M13" s="15">
        <v>735.0</v>
      </c>
      <c r="N13" s="15">
        <v>51.30752</v>
      </c>
      <c r="O13" s="2"/>
      <c r="P13" s="16" t="b">
        <f t="shared" ref="P13:R13" si="12">C13=K13</f>
        <v>1</v>
      </c>
      <c r="Q13" s="16" t="b">
        <f t="shared" si="12"/>
        <v>1</v>
      </c>
      <c r="R13" s="16" t="b">
        <f t="shared" si="12"/>
        <v>1</v>
      </c>
      <c r="S13" s="17">
        <f t="shared" si="3"/>
        <v>876</v>
      </c>
      <c r="T13" s="18">
        <f t="shared" si="4"/>
        <v>14.03059824</v>
      </c>
      <c r="U13" s="8"/>
      <c r="V13" s="8"/>
      <c r="W13" s="2"/>
      <c r="X13" s="2"/>
      <c r="Y13" s="2"/>
      <c r="Z13" s="2"/>
      <c r="AA13" s="2"/>
      <c r="AB13" s="2"/>
      <c r="AC13" s="2"/>
    </row>
    <row r="14">
      <c r="A14" s="15">
        <v>260.0</v>
      </c>
      <c r="B14" s="15">
        <v>953.0</v>
      </c>
      <c r="C14" s="15">
        <v>58.0</v>
      </c>
      <c r="D14" s="15">
        <v>9.0</v>
      </c>
      <c r="E14" s="15">
        <v>53.0</v>
      </c>
      <c r="F14" s="15">
        <v>772.4522</v>
      </c>
      <c r="G14" s="15"/>
      <c r="H14" s="5"/>
      <c r="I14" s="15">
        <v>260.0</v>
      </c>
      <c r="J14" s="15">
        <v>953.0</v>
      </c>
      <c r="K14" s="15">
        <v>58.0</v>
      </c>
      <c r="L14" s="15">
        <v>9.0</v>
      </c>
      <c r="M14" s="15">
        <v>53.0</v>
      </c>
      <c r="N14" s="15">
        <v>50.39411</v>
      </c>
      <c r="O14" s="2"/>
      <c r="P14" s="16" t="b">
        <f t="shared" ref="P14:R14" si="13">C14=K14</f>
        <v>1</v>
      </c>
      <c r="Q14" s="16" t="b">
        <f t="shared" si="13"/>
        <v>1</v>
      </c>
      <c r="R14" s="16" t="b">
        <f t="shared" si="13"/>
        <v>1</v>
      </c>
      <c r="S14" s="17">
        <f t="shared" si="3"/>
        <v>953</v>
      </c>
      <c r="T14" s="18">
        <f t="shared" si="4"/>
        <v>15.32822387</v>
      </c>
      <c r="U14" s="8"/>
      <c r="V14" s="8"/>
      <c r="W14" s="2"/>
      <c r="X14" s="2"/>
      <c r="Y14" s="2"/>
      <c r="Z14" s="2"/>
      <c r="AA14" s="2"/>
      <c r="AB14" s="2"/>
      <c r="AC14" s="2"/>
    </row>
    <row r="15">
      <c r="A15" s="15">
        <v>261.0</v>
      </c>
      <c r="B15" s="15">
        <v>1038.0</v>
      </c>
      <c r="C15" s="15">
        <v>53.0</v>
      </c>
      <c r="D15" s="15">
        <v>986.0</v>
      </c>
      <c r="E15" s="15">
        <v>1025.0</v>
      </c>
      <c r="F15" s="15">
        <v>854.0422</v>
      </c>
      <c r="G15" s="15"/>
      <c r="H15" s="5"/>
      <c r="I15" s="15">
        <v>261.0</v>
      </c>
      <c r="J15" s="15">
        <v>1038.0</v>
      </c>
      <c r="K15" s="15">
        <v>53.0</v>
      </c>
      <c r="L15" s="15">
        <v>986.0</v>
      </c>
      <c r="M15" s="15">
        <v>1025.0</v>
      </c>
      <c r="N15" s="15">
        <v>55.62675</v>
      </c>
      <c r="O15" s="2"/>
      <c r="P15" s="16" t="b">
        <f t="shared" ref="P15:R15" si="14">C15=K15</f>
        <v>1</v>
      </c>
      <c r="Q15" s="16" t="b">
        <f t="shared" si="14"/>
        <v>1</v>
      </c>
      <c r="R15" s="16" t="b">
        <f t="shared" si="14"/>
        <v>1</v>
      </c>
      <c r="S15" s="17">
        <f t="shared" si="3"/>
        <v>1038</v>
      </c>
      <c r="T15" s="18">
        <f t="shared" si="4"/>
        <v>15.35308462</v>
      </c>
      <c r="U15" s="8"/>
      <c r="V15" s="8"/>
      <c r="W15" s="2"/>
      <c r="X15" s="2"/>
      <c r="Y15" s="2"/>
      <c r="Z15" s="2"/>
      <c r="AA15" s="2"/>
      <c r="AB15" s="2"/>
      <c r="AC15" s="2"/>
    </row>
    <row r="16">
      <c r="A16" s="15">
        <v>262.0</v>
      </c>
      <c r="B16" s="15">
        <v>1035.0</v>
      </c>
      <c r="C16" s="15">
        <v>51.0</v>
      </c>
      <c r="D16" s="15">
        <v>949.0</v>
      </c>
      <c r="E16" s="15">
        <v>995.0</v>
      </c>
      <c r="F16" s="15">
        <v>852.039</v>
      </c>
      <c r="G16" s="15"/>
      <c r="H16" s="5"/>
      <c r="I16" s="15">
        <v>262.0</v>
      </c>
      <c r="J16" s="15">
        <v>1035.0</v>
      </c>
      <c r="K16" s="15">
        <v>51.0</v>
      </c>
      <c r="L16" s="15">
        <v>949.0</v>
      </c>
      <c r="M16" s="15">
        <v>995.0</v>
      </c>
      <c r="N16" s="15">
        <v>53.3625</v>
      </c>
      <c r="O16" s="2"/>
      <c r="P16" s="16" t="b">
        <f t="shared" ref="P16:R16" si="15">C16=K16</f>
        <v>1</v>
      </c>
      <c r="Q16" s="16" t="b">
        <f t="shared" si="15"/>
        <v>1</v>
      </c>
      <c r="R16" s="16" t="b">
        <f t="shared" si="15"/>
        <v>1</v>
      </c>
      <c r="S16" s="17">
        <f t="shared" si="3"/>
        <v>1035</v>
      </c>
      <c r="T16" s="18">
        <f t="shared" si="4"/>
        <v>15.9669993</v>
      </c>
      <c r="U16" s="8"/>
      <c r="V16" s="8"/>
      <c r="W16" s="2"/>
      <c r="X16" s="2"/>
      <c r="Y16" s="2"/>
      <c r="Z16" s="2"/>
      <c r="AA16" s="2"/>
      <c r="AB16" s="2"/>
      <c r="AC16" s="2"/>
    </row>
    <row r="17">
      <c r="A17" s="15">
        <v>263.0</v>
      </c>
      <c r="B17" s="15">
        <v>1032.0</v>
      </c>
      <c r="C17" s="15">
        <v>56.0</v>
      </c>
      <c r="D17" s="15">
        <v>324.0</v>
      </c>
      <c r="E17" s="15">
        <v>351.0</v>
      </c>
      <c r="F17" s="15">
        <v>843.9413</v>
      </c>
      <c r="G17" s="15"/>
      <c r="H17" s="5"/>
      <c r="I17" s="15">
        <v>263.0</v>
      </c>
      <c r="J17" s="15">
        <v>1032.0</v>
      </c>
      <c r="K17" s="15">
        <v>56.0</v>
      </c>
      <c r="L17" s="15">
        <v>324.0</v>
      </c>
      <c r="M17" s="15">
        <v>351.0</v>
      </c>
      <c r="N17" s="15">
        <v>45.94992</v>
      </c>
      <c r="O17" s="2"/>
      <c r="P17" s="16" t="b">
        <f t="shared" ref="P17:R17" si="16">C17=K17</f>
        <v>1</v>
      </c>
      <c r="Q17" s="16" t="b">
        <f t="shared" si="16"/>
        <v>1</v>
      </c>
      <c r="R17" s="16" t="b">
        <f t="shared" si="16"/>
        <v>1</v>
      </c>
      <c r="S17" s="17">
        <f t="shared" si="3"/>
        <v>1032</v>
      </c>
      <c r="T17" s="18">
        <f t="shared" si="4"/>
        <v>18.36654558</v>
      </c>
      <c r="U17" s="8"/>
      <c r="V17" s="8"/>
      <c r="W17" s="2"/>
      <c r="X17" s="2"/>
      <c r="Y17" s="2"/>
      <c r="Z17" s="2"/>
      <c r="AA17" s="2"/>
      <c r="AB17" s="2"/>
      <c r="AC17" s="2"/>
    </row>
    <row r="18">
      <c r="A18" s="15">
        <v>264.0</v>
      </c>
      <c r="B18" s="15">
        <v>1033.0</v>
      </c>
      <c r="C18" s="15">
        <v>47.0</v>
      </c>
      <c r="D18" s="15">
        <v>313.0</v>
      </c>
      <c r="E18" s="15">
        <v>354.0</v>
      </c>
      <c r="F18" s="15">
        <v>837.8274</v>
      </c>
      <c r="G18" s="15"/>
      <c r="H18" s="5"/>
      <c r="I18" s="15">
        <v>264.0</v>
      </c>
      <c r="J18" s="15">
        <v>1033.0</v>
      </c>
      <c r="K18" s="15">
        <v>47.0</v>
      </c>
      <c r="L18" s="15">
        <v>313.0</v>
      </c>
      <c r="M18" s="15">
        <v>354.0</v>
      </c>
      <c r="N18" s="15">
        <v>50.77402</v>
      </c>
      <c r="O18" s="2"/>
      <c r="P18" s="16" t="b">
        <f t="shared" ref="P18:R18" si="17">C18=K18</f>
        <v>1</v>
      </c>
      <c r="Q18" s="16" t="b">
        <f t="shared" si="17"/>
        <v>1</v>
      </c>
      <c r="R18" s="16" t="b">
        <f t="shared" si="17"/>
        <v>1</v>
      </c>
      <c r="S18" s="17">
        <f t="shared" si="3"/>
        <v>1033</v>
      </c>
      <c r="T18" s="18">
        <f t="shared" si="4"/>
        <v>16.5011043</v>
      </c>
      <c r="U18" s="8"/>
      <c r="V18" s="8"/>
      <c r="W18" s="2"/>
      <c r="X18" s="2"/>
      <c r="Y18" s="2"/>
      <c r="Z18" s="2"/>
      <c r="AA18" s="2"/>
      <c r="AB18" s="2"/>
      <c r="AC18" s="2"/>
    </row>
    <row r="19">
      <c r="A19" s="15">
        <v>265.0</v>
      </c>
      <c r="B19" s="15">
        <v>664.0</v>
      </c>
      <c r="C19" s="15">
        <v>65.0</v>
      </c>
      <c r="D19" s="15">
        <v>302.0</v>
      </c>
      <c r="E19" s="15">
        <v>344.0</v>
      </c>
      <c r="F19" s="15">
        <v>540.3013</v>
      </c>
      <c r="G19" s="15"/>
      <c r="H19" s="5"/>
      <c r="I19" s="15">
        <v>265.0</v>
      </c>
      <c r="J19" s="15">
        <v>664.0</v>
      </c>
      <c r="K19" s="15">
        <v>65.0</v>
      </c>
      <c r="L19" s="15">
        <v>302.0</v>
      </c>
      <c r="M19" s="15">
        <v>344.0</v>
      </c>
      <c r="N19" s="15">
        <v>41.36474</v>
      </c>
      <c r="O19" s="2"/>
      <c r="P19" s="16" t="b">
        <f t="shared" ref="P19:R19" si="18">C19=K19</f>
        <v>1</v>
      </c>
      <c r="Q19" s="16" t="b">
        <f t="shared" si="18"/>
        <v>1</v>
      </c>
      <c r="R19" s="16" t="b">
        <f t="shared" si="18"/>
        <v>1</v>
      </c>
      <c r="S19" s="17">
        <f t="shared" si="3"/>
        <v>664</v>
      </c>
      <c r="T19" s="18">
        <f t="shared" si="4"/>
        <v>13.06188072</v>
      </c>
      <c r="U19" s="8"/>
      <c r="V19" s="8"/>
      <c r="W19" s="2"/>
      <c r="X19" s="2"/>
      <c r="Y19" s="2"/>
      <c r="Z19" s="2"/>
      <c r="AA19" s="2"/>
      <c r="AB19" s="2"/>
      <c r="AC19" s="2"/>
    </row>
    <row r="20">
      <c r="A20" s="15">
        <v>266.0</v>
      </c>
      <c r="B20" s="15">
        <v>929.0</v>
      </c>
      <c r="C20" s="15">
        <v>51.0</v>
      </c>
      <c r="D20" s="15">
        <v>717.0</v>
      </c>
      <c r="E20" s="15">
        <v>770.0</v>
      </c>
      <c r="F20" s="15">
        <v>753.5511</v>
      </c>
      <c r="G20" s="15"/>
      <c r="H20" s="5"/>
      <c r="I20" s="15">
        <v>266.0</v>
      </c>
      <c r="J20" s="15">
        <v>929.0</v>
      </c>
      <c r="K20" s="15">
        <v>51.0</v>
      </c>
      <c r="L20" s="15">
        <v>717.0</v>
      </c>
      <c r="M20" s="15">
        <v>770.0</v>
      </c>
      <c r="N20" s="15">
        <v>54.84749</v>
      </c>
      <c r="O20" s="2"/>
      <c r="P20" s="16" t="b">
        <f t="shared" ref="P20:R20" si="19">C20=K20</f>
        <v>1</v>
      </c>
      <c r="Q20" s="16" t="b">
        <f t="shared" si="19"/>
        <v>1</v>
      </c>
      <c r="R20" s="16" t="b">
        <f t="shared" si="19"/>
        <v>1</v>
      </c>
      <c r="S20" s="17">
        <f t="shared" si="3"/>
        <v>929</v>
      </c>
      <c r="T20" s="18">
        <f t="shared" si="4"/>
        <v>13.73902616</v>
      </c>
      <c r="U20" s="8"/>
      <c r="V20" s="8"/>
      <c r="W20" s="2"/>
      <c r="X20" s="2"/>
      <c r="Y20" s="2"/>
      <c r="Z20" s="2"/>
      <c r="AA20" s="2"/>
      <c r="AB20" s="2"/>
      <c r="AC20" s="2"/>
    </row>
    <row r="21">
      <c r="A21" s="15">
        <v>267.0</v>
      </c>
      <c r="B21" s="15">
        <v>591.0</v>
      </c>
      <c r="C21" s="15">
        <v>54.0</v>
      </c>
      <c r="D21" s="15">
        <v>537.0</v>
      </c>
      <c r="E21" s="15">
        <v>578.0</v>
      </c>
      <c r="F21" s="15">
        <v>490.6953</v>
      </c>
      <c r="G21" s="15"/>
      <c r="H21" s="5"/>
      <c r="I21" s="15">
        <v>267.0</v>
      </c>
      <c r="J21" s="15">
        <v>591.0</v>
      </c>
      <c r="K21" s="15">
        <v>54.0</v>
      </c>
      <c r="L21" s="15">
        <v>537.0</v>
      </c>
      <c r="M21" s="15">
        <v>578.0</v>
      </c>
      <c r="N21" s="15">
        <v>39.96569</v>
      </c>
      <c r="O21" s="2"/>
      <c r="P21" s="16" t="b">
        <f t="shared" ref="P21:R21" si="20">C21=K21</f>
        <v>1</v>
      </c>
      <c r="Q21" s="16" t="b">
        <f t="shared" si="20"/>
        <v>1</v>
      </c>
      <c r="R21" s="16" t="b">
        <f t="shared" si="20"/>
        <v>1</v>
      </c>
      <c r="S21" s="17">
        <f t="shared" si="3"/>
        <v>591</v>
      </c>
      <c r="T21" s="18">
        <f t="shared" si="4"/>
        <v>12.27791388</v>
      </c>
      <c r="U21" s="8"/>
      <c r="V21" s="8"/>
      <c r="W21" s="2"/>
      <c r="X21" s="2"/>
      <c r="Y21" s="2"/>
      <c r="Z21" s="2"/>
      <c r="AA21" s="2"/>
      <c r="AB21" s="2"/>
      <c r="AC21" s="2"/>
    </row>
    <row r="22">
      <c r="A22" s="15">
        <v>268.0</v>
      </c>
      <c r="B22" s="15">
        <v>1106.0</v>
      </c>
      <c r="C22" s="15">
        <v>64.0</v>
      </c>
      <c r="D22" s="15">
        <v>22.0</v>
      </c>
      <c r="E22" s="15">
        <v>66.0</v>
      </c>
      <c r="F22" s="15">
        <v>899.8561</v>
      </c>
      <c r="G22" s="15"/>
      <c r="H22" s="5"/>
      <c r="I22" s="15">
        <v>268.0</v>
      </c>
      <c r="J22" s="15">
        <v>1106.0</v>
      </c>
      <c r="K22" s="15">
        <v>64.0</v>
      </c>
      <c r="L22" s="15">
        <v>22.0</v>
      </c>
      <c r="M22" s="15">
        <v>66.0</v>
      </c>
      <c r="N22" s="15">
        <v>54.2249</v>
      </c>
      <c r="O22" s="2"/>
      <c r="P22" s="16" t="b">
        <f t="shared" ref="P22:R22" si="21">C22=K22</f>
        <v>1</v>
      </c>
      <c r="Q22" s="16" t="b">
        <f t="shared" si="21"/>
        <v>1</v>
      </c>
      <c r="R22" s="16" t="b">
        <f t="shared" si="21"/>
        <v>1</v>
      </c>
      <c r="S22" s="17">
        <f t="shared" si="3"/>
        <v>1106</v>
      </c>
      <c r="T22" s="18">
        <f t="shared" si="4"/>
        <v>16.59488722</v>
      </c>
      <c r="U22" s="8"/>
      <c r="V22" s="8"/>
      <c r="W22" s="2"/>
      <c r="X22" s="2"/>
      <c r="Y22" s="2"/>
      <c r="Z22" s="2"/>
      <c r="AA22" s="2"/>
      <c r="AB22" s="2"/>
      <c r="AC22" s="2"/>
    </row>
    <row r="23">
      <c r="A23" s="15">
        <v>269.0</v>
      </c>
      <c r="B23" s="15">
        <v>742.0</v>
      </c>
      <c r="C23" s="15">
        <v>62.0</v>
      </c>
      <c r="D23" s="15">
        <v>10.0</v>
      </c>
      <c r="E23" s="15">
        <v>55.0</v>
      </c>
      <c r="F23" s="15">
        <v>603.7529</v>
      </c>
      <c r="G23" s="15"/>
      <c r="H23" s="5"/>
      <c r="I23" s="15">
        <v>269.0</v>
      </c>
      <c r="J23" s="15">
        <v>742.0</v>
      </c>
      <c r="K23" s="15">
        <v>62.0</v>
      </c>
      <c r="L23" s="15">
        <v>10.0</v>
      </c>
      <c r="M23" s="15">
        <v>55.0</v>
      </c>
      <c r="N23" s="15">
        <v>44.74471</v>
      </c>
      <c r="O23" s="2"/>
      <c r="P23" s="16" t="b">
        <f t="shared" ref="P23:R23" si="22">C23=K23</f>
        <v>1</v>
      </c>
      <c r="Q23" s="16" t="b">
        <f t="shared" si="22"/>
        <v>1</v>
      </c>
      <c r="R23" s="16" t="b">
        <f t="shared" si="22"/>
        <v>1</v>
      </c>
      <c r="S23" s="17">
        <f t="shared" si="3"/>
        <v>742</v>
      </c>
      <c r="T23" s="18">
        <f t="shared" si="4"/>
        <v>13.49327999</v>
      </c>
      <c r="U23" s="8"/>
      <c r="V23" s="8"/>
      <c r="W23" s="2"/>
      <c r="X23" s="2"/>
      <c r="Y23" s="2"/>
      <c r="Z23" s="2"/>
      <c r="AA23" s="2"/>
      <c r="AB23" s="2"/>
      <c r="AC23" s="2"/>
    </row>
    <row r="24">
      <c r="A24" s="15">
        <v>270.0</v>
      </c>
      <c r="B24" s="15">
        <v>915.0</v>
      </c>
      <c r="C24" s="15">
        <v>66.0</v>
      </c>
      <c r="D24" s="15">
        <v>131.0</v>
      </c>
      <c r="E24" s="15">
        <v>173.0</v>
      </c>
      <c r="F24" s="15">
        <v>742.9812</v>
      </c>
      <c r="G24" s="15"/>
      <c r="H24" s="5"/>
      <c r="I24" s="15">
        <v>270.0</v>
      </c>
      <c r="J24" s="15">
        <v>915.0</v>
      </c>
      <c r="K24" s="15">
        <v>66.0</v>
      </c>
      <c r="L24" s="15">
        <v>131.0</v>
      </c>
      <c r="M24" s="15">
        <v>173.0</v>
      </c>
      <c r="N24" s="15">
        <v>48.50374</v>
      </c>
      <c r="O24" s="2"/>
      <c r="P24" s="16" t="b">
        <f t="shared" ref="P24:R24" si="23">C24=K24</f>
        <v>1</v>
      </c>
      <c r="Q24" s="16" t="b">
        <f t="shared" si="23"/>
        <v>1</v>
      </c>
      <c r="R24" s="16" t="b">
        <f t="shared" si="23"/>
        <v>1</v>
      </c>
      <c r="S24" s="17">
        <f t="shared" si="3"/>
        <v>915</v>
      </c>
      <c r="T24" s="18">
        <f t="shared" si="4"/>
        <v>15.31801878</v>
      </c>
      <c r="U24" s="8"/>
      <c r="V24" s="8"/>
      <c r="W24" s="2"/>
      <c r="X24" s="2"/>
      <c r="Y24" s="2"/>
      <c r="Z24" s="2"/>
      <c r="AA24" s="2"/>
      <c r="AB24" s="2"/>
      <c r="AC24" s="2"/>
    </row>
    <row r="25">
      <c r="A25" s="15">
        <v>271.0</v>
      </c>
      <c r="B25" s="15">
        <v>853.0</v>
      </c>
      <c r="C25" s="15">
        <v>56.0</v>
      </c>
      <c r="D25" s="15">
        <v>403.0</v>
      </c>
      <c r="E25" s="15">
        <v>444.0</v>
      </c>
      <c r="F25" s="15">
        <v>704.1692</v>
      </c>
      <c r="G25" s="15"/>
      <c r="H25" s="5"/>
      <c r="I25" s="15">
        <v>271.0</v>
      </c>
      <c r="J25" s="15">
        <v>853.0</v>
      </c>
      <c r="K25" s="15">
        <v>56.0</v>
      </c>
      <c r="L25" s="15">
        <v>403.0</v>
      </c>
      <c r="M25" s="15">
        <v>444.0</v>
      </c>
      <c r="N25" s="15">
        <v>47.99597</v>
      </c>
      <c r="O25" s="2"/>
      <c r="P25" s="16" t="b">
        <f t="shared" ref="P25:R25" si="24">C25=K25</f>
        <v>1</v>
      </c>
      <c r="Q25" s="16" t="b">
        <f t="shared" si="24"/>
        <v>1</v>
      </c>
      <c r="R25" s="16" t="b">
        <f t="shared" si="24"/>
        <v>1</v>
      </c>
      <c r="S25" s="17">
        <f t="shared" si="3"/>
        <v>853</v>
      </c>
      <c r="T25" s="18">
        <f t="shared" si="4"/>
        <v>14.67142345</v>
      </c>
      <c r="U25" s="8"/>
      <c r="V25" s="8"/>
      <c r="W25" s="2"/>
      <c r="X25" s="2"/>
      <c r="Y25" s="2"/>
      <c r="Z25" s="2"/>
      <c r="AA25" s="2"/>
      <c r="AB25" s="2"/>
      <c r="AC25" s="2"/>
    </row>
    <row r="26">
      <c r="A26" s="15">
        <v>272.0</v>
      </c>
      <c r="B26" s="15">
        <v>880.0</v>
      </c>
      <c r="C26" s="15">
        <v>48.0</v>
      </c>
      <c r="D26" s="15">
        <v>32.0</v>
      </c>
      <c r="E26" s="15">
        <v>67.0</v>
      </c>
      <c r="F26" s="15">
        <v>723.9827</v>
      </c>
      <c r="G26" s="15"/>
      <c r="H26" s="5"/>
      <c r="I26" s="15">
        <v>272.0</v>
      </c>
      <c r="J26" s="15">
        <v>880.0</v>
      </c>
      <c r="K26" s="15">
        <v>48.0</v>
      </c>
      <c r="L26" s="15">
        <v>32.0</v>
      </c>
      <c r="M26" s="15">
        <v>67.0</v>
      </c>
      <c r="N26" s="15">
        <v>46.49369</v>
      </c>
      <c r="O26" s="2"/>
      <c r="P26" s="16" t="b">
        <f t="shared" ref="P26:R26" si="25">C26=K26</f>
        <v>1</v>
      </c>
      <c r="Q26" s="16" t="b">
        <f t="shared" si="25"/>
        <v>1</v>
      </c>
      <c r="R26" s="16" t="b">
        <f t="shared" si="25"/>
        <v>1</v>
      </c>
      <c r="S26" s="17">
        <f t="shared" si="3"/>
        <v>880</v>
      </c>
      <c r="T26" s="18">
        <f t="shared" si="4"/>
        <v>15.57163348</v>
      </c>
      <c r="U26" s="8"/>
      <c r="V26" s="8"/>
      <c r="W26" s="2"/>
      <c r="X26" s="2"/>
      <c r="Y26" s="2"/>
      <c r="Z26" s="2"/>
      <c r="AA26" s="2"/>
      <c r="AB26" s="2"/>
      <c r="AC26" s="2"/>
    </row>
    <row r="27">
      <c r="A27" s="15">
        <v>273.0</v>
      </c>
      <c r="B27" s="15">
        <v>589.0</v>
      </c>
      <c r="C27" s="15">
        <v>61.0</v>
      </c>
      <c r="D27" s="15">
        <v>7.0</v>
      </c>
      <c r="E27" s="15">
        <v>55.0</v>
      </c>
      <c r="F27" s="15">
        <v>477.4445</v>
      </c>
      <c r="G27" s="15"/>
      <c r="H27" s="5"/>
      <c r="I27" s="15">
        <v>273.0</v>
      </c>
      <c r="J27" s="15">
        <v>589.0</v>
      </c>
      <c r="K27" s="15">
        <v>61.0</v>
      </c>
      <c r="L27" s="15">
        <v>7.0</v>
      </c>
      <c r="M27" s="15">
        <v>55.0</v>
      </c>
      <c r="N27" s="15">
        <v>41.61741</v>
      </c>
      <c r="O27" s="2"/>
      <c r="P27" s="16" t="b">
        <f t="shared" ref="P27:R27" si="26">C27=K27</f>
        <v>1</v>
      </c>
      <c r="Q27" s="16" t="b">
        <f t="shared" si="26"/>
        <v>1</v>
      </c>
      <c r="R27" s="16" t="b">
        <f t="shared" si="26"/>
        <v>1</v>
      </c>
      <c r="S27" s="17">
        <f t="shared" si="3"/>
        <v>589</v>
      </c>
      <c r="T27" s="18">
        <f t="shared" si="4"/>
        <v>11.47223001</v>
      </c>
      <c r="U27" s="8"/>
      <c r="V27" s="8"/>
      <c r="W27" s="2"/>
      <c r="X27" s="2"/>
      <c r="Y27" s="2"/>
      <c r="Z27" s="2"/>
      <c r="AA27" s="2"/>
      <c r="AB27" s="2"/>
      <c r="AC27" s="2"/>
    </row>
    <row r="28">
      <c r="A28" s="15">
        <v>274.0</v>
      </c>
      <c r="B28" s="15">
        <v>1020.0</v>
      </c>
      <c r="C28" s="15">
        <v>46.0</v>
      </c>
      <c r="D28" s="15">
        <v>10.0</v>
      </c>
      <c r="E28" s="15">
        <v>55.0</v>
      </c>
      <c r="F28" s="15">
        <v>829.5563</v>
      </c>
      <c r="G28" s="15"/>
      <c r="H28" s="5"/>
      <c r="I28" s="15">
        <v>274.0</v>
      </c>
      <c r="J28" s="15">
        <v>1020.0</v>
      </c>
      <c r="K28" s="15">
        <v>46.0</v>
      </c>
      <c r="L28" s="15">
        <v>10.0</v>
      </c>
      <c r="M28" s="15">
        <v>55.0</v>
      </c>
      <c r="N28" s="15">
        <v>52.60083</v>
      </c>
      <c r="O28" s="2"/>
      <c r="P28" s="16" t="b">
        <f t="shared" ref="P28:R28" si="27">C28=K28</f>
        <v>1</v>
      </c>
      <c r="Q28" s="16" t="b">
        <f t="shared" si="27"/>
        <v>1</v>
      </c>
      <c r="R28" s="16" t="b">
        <f t="shared" si="27"/>
        <v>1</v>
      </c>
      <c r="S28" s="17">
        <f t="shared" si="3"/>
        <v>1020</v>
      </c>
      <c r="T28" s="18">
        <f t="shared" si="4"/>
        <v>15.77078346</v>
      </c>
      <c r="U28" s="8"/>
      <c r="V28" s="8"/>
      <c r="W28" s="2"/>
      <c r="X28" s="2"/>
      <c r="Y28" s="2"/>
      <c r="Z28" s="2"/>
      <c r="AA28" s="2"/>
      <c r="AB28" s="2"/>
      <c r="AC28" s="2"/>
    </row>
    <row r="29">
      <c r="A29" s="15">
        <v>275.0</v>
      </c>
      <c r="B29" s="15">
        <v>878.0</v>
      </c>
      <c r="C29" s="15">
        <v>43.0</v>
      </c>
      <c r="D29" s="15">
        <v>218.0</v>
      </c>
      <c r="E29" s="15">
        <v>242.0</v>
      </c>
      <c r="F29" s="15">
        <v>710.3894</v>
      </c>
      <c r="G29" s="15"/>
      <c r="H29" s="5"/>
      <c r="I29" s="15">
        <v>275.0</v>
      </c>
      <c r="J29" s="15">
        <v>878.0</v>
      </c>
      <c r="K29" s="15">
        <v>43.0</v>
      </c>
      <c r="L29" s="15">
        <v>218.0</v>
      </c>
      <c r="M29" s="15">
        <v>242.0</v>
      </c>
      <c r="N29" s="15">
        <v>42.07002</v>
      </c>
      <c r="O29" s="2"/>
      <c r="P29" s="16" t="b">
        <f t="shared" ref="P29:R29" si="28">C29=K29</f>
        <v>1</v>
      </c>
      <c r="Q29" s="16" t="b">
        <f t="shared" si="28"/>
        <v>1</v>
      </c>
      <c r="R29" s="16" t="b">
        <f t="shared" si="28"/>
        <v>1</v>
      </c>
      <c r="S29" s="17">
        <f t="shared" si="3"/>
        <v>878</v>
      </c>
      <c r="T29" s="18">
        <f t="shared" si="4"/>
        <v>16.88588216</v>
      </c>
      <c r="U29" s="8"/>
      <c r="V29" s="8"/>
      <c r="W29" s="2"/>
      <c r="X29" s="2"/>
      <c r="Y29" s="2"/>
      <c r="Z29" s="2"/>
      <c r="AA29" s="2"/>
      <c r="AB29" s="2"/>
      <c r="AC29" s="2"/>
    </row>
    <row r="30">
      <c r="A30" s="15">
        <v>276.0</v>
      </c>
      <c r="B30" s="15">
        <v>1010.0</v>
      </c>
      <c r="C30" s="15">
        <v>60.0</v>
      </c>
      <c r="D30" s="15">
        <v>3.0</v>
      </c>
      <c r="E30" s="15">
        <v>48.0</v>
      </c>
      <c r="F30" s="15">
        <v>821.9144</v>
      </c>
      <c r="G30" s="15"/>
      <c r="H30" s="5"/>
      <c r="I30" s="15">
        <v>276.0</v>
      </c>
      <c r="J30" s="15">
        <v>1010.0</v>
      </c>
      <c r="K30" s="15">
        <v>60.0</v>
      </c>
      <c r="L30" s="15">
        <v>3.0</v>
      </c>
      <c r="M30" s="15">
        <v>48.0</v>
      </c>
      <c r="N30" s="15">
        <v>51.35363</v>
      </c>
      <c r="O30" s="2"/>
      <c r="P30" s="16" t="b">
        <f t="shared" ref="P30:R30" si="29">C30=K30</f>
        <v>1</v>
      </c>
      <c r="Q30" s="16" t="b">
        <f t="shared" si="29"/>
        <v>1</v>
      </c>
      <c r="R30" s="16" t="b">
        <f t="shared" si="29"/>
        <v>1</v>
      </c>
      <c r="S30" s="17">
        <f t="shared" si="3"/>
        <v>1010</v>
      </c>
      <c r="T30" s="18">
        <f t="shared" si="4"/>
        <v>16.00499127</v>
      </c>
      <c r="U30" s="8"/>
      <c r="V30" s="8"/>
      <c r="W30" s="2"/>
      <c r="X30" s="2"/>
      <c r="Y30" s="2"/>
      <c r="Z30" s="2"/>
      <c r="AA30" s="2"/>
      <c r="AB30" s="2"/>
      <c r="AC30" s="2"/>
    </row>
    <row r="31">
      <c r="A31" s="15">
        <v>277.0</v>
      </c>
      <c r="B31" s="15">
        <v>784.0</v>
      </c>
      <c r="C31" s="15">
        <v>55.0</v>
      </c>
      <c r="D31" s="15">
        <v>557.0</v>
      </c>
      <c r="E31" s="15">
        <v>611.0</v>
      </c>
      <c r="F31" s="15">
        <v>637.234</v>
      </c>
      <c r="G31" s="15"/>
      <c r="H31" s="5"/>
      <c r="I31" s="15">
        <v>277.0</v>
      </c>
      <c r="J31" s="15">
        <v>784.0</v>
      </c>
      <c r="K31" s="15">
        <v>55.0</v>
      </c>
      <c r="L31" s="15">
        <v>557.0</v>
      </c>
      <c r="M31" s="15">
        <v>611.0</v>
      </c>
      <c r="N31" s="15">
        <v>48.6152</v>
      </c>
      <c r="O31" s="2"/>
      <c r="P31" s="16" t="b">
        <f t="shared" ref="P31:R31" si="30">C31=K31</f>
        <v>1</v>
      </c>
      <c r="Q31" s="16" t="b">
        <f t="shared" si="30"/>
        <v>1</v>
      </c>
      <c r="R31" s="16" t="b">
        <f t="shared" si="30"/>
        <v>1</v>
      </c>
      <c r="S31" s="17">
        <f t="shared" si="3"/>
        <v>784</v>
      </c>
      <c r="T31" s="18">
        <f t="shared" si="4"/>
        <v>13.10771117</v>
      </c>
      <c r="U31" s="8"/>
      <c r="V31" s="8"/>
      <c r="W31" s="2"/>
      <c r="X31" s="2"/>
      <c r="Y31" s="2"/>
      <c r="Z31" s="2"/>
      <c r="AA31" s="2"/>
      <c r="AB31" s="2"/>
      <c r="AC31" s="2"/>
    </row>
    <row r="32">
      <c r="A32" s="15">
        <v>278.0</v>
      </c>
      <c r="B32" s="15">
        <v>678.0</v>
      </c>
      <c r="C32" s="15">
        <v>80.0</v>
      </c>
      <c r="D32" s="15">
        <v>6.0</v>
      </c>
      <c r="E32" s="15">
        <v>52.0</v>
      </c>
      <c r="F32" s="15">
        <v>549.2542</v>
      </c>
      <c r="G32" s="15"/>
      <c r="H32" s="5"/>
      <c r="I32" s="15">
        <v>278.0</v>
      </c>
      <c r="J32" s="15">
        <v>678.0</v>
      </c>
      <c r="K32" s="15">
        <v>80.0</v>
      </c>
      <c r="L32" s="15">
        <v>6.0</v>
      </c>
      <c r="M32" s="15">
        <v>52.0</v>
      </c>
      <c r="N32" s="15">
        <v>43.0295</v>
      </c>
      <c r="O32" s="2"/>
      <c r="P32" s="16" t="b">
        <f t="shared" ref="P32:R32" si="31">C32=K32</f>
        <v>1</v>
      </c>
      <c r="Q32" s="16" t="b">
        <f t="shared" si="31"/>
        <v>1</v>
      </c>
      <c r="R32" s="16" t="b">
        <f t="shared" si="31"/>
        <v>1</v>
      </c>
      <c r="S32" s="17">
        <f t="shared" si="3"/>
        <v>678</v>
      </c>
      <c r="T32" s="18">
        <f t="shared" si="4"/>
        <v>12.76459638</v>
      </c>
      <c r="U32" s="8"/>
      <c r="V32" s="8"/>
      <c r="W32" s="2"/>
      <c r="X32" s="2"/>
      <c r="Y32" s="2"/>
      <c r="Z32" s="2"/>
      <c r="AA32" s="2"/>
      <c r="AB32" s="2"/>
      <c r="AC32" s="2"/>
    </row>
    <row r="33">
      <c r="A33" s="15">
        <v>279.0</v>
      </c>
      <c r="B33" s="15">
        <v>1249.0</v>
      </c>
      <c r="C33" s="15">
        <v>68.0</v>
      </c>
      <c r="D33" s="15">
        <v>5.0</v>
      </c>
      <c r="E33" s="15">
        <v>46.0</v>
      </c>
      <c r="F33" s="15">
        <v>1012.557</v>
      </c>
      <c r="G33" s="15"/>
      <c r="H33" s="5"/>
      <c r="I33" s="15">
        <v>279.0</v>
      </c>
      <c r="J33" s="15">
        <v>1249.0</v>
      </c>
      <c r="K33" s="15">
        <v>68.0</v>
      </c>
      <c r="L33" s="15">
        <v>5.0</v>
      </c>
      <c r="M33" s="15">
        <v>46.0</v>
      </c>
      <c r="N33" s="15">
        <v>57.79968</v>
      </c>
      <c r="O33" s="2"/>
      <c r="P33" s="16" t="b">
        <f t="shared" ref="P33:R33" si="32">C33=K33</f>
        <v>1</v>
      </c>
      <c r="Q33" s="16" t="b">
        <f t="shared" si="32"/>
        <v>1</v>
      </c>
      <c r="R33" s="16" t="b">
        <f t="shared" si="32"/>
        <v>1</v>
      </c>
      <c r="S33" s="17">
        <f t="shared" si="3"/>
        <v>1249</v>
      </c>
      <c r="T33" s="18">
        <f t="shared" si="4"/>
        <v>17.51838418</v>
      </c>
      <c r="U33" s="8"/>
      <c r="V33" s="8"/>
      <c r="W33" s="2"/>
      <c r="X33" s="2"/>
      <c r="Y33" s="2"/>
      <c r="Z33" s="2"/>
      <c r="AA33" s="2"/>
      <c r="AB33" s="2"/>
      <c r="AC33" s="2"/>
    </row>
    <row r="34">
      <c r="A34" s="15">
        <v>280.0</v>
      </c>
      <c r="B34" s="15">
        <v>898.0</v>
      </c>
      <c r="C34" s="15">
        <v>53.0</v>
      </c>
      <c r="D34" s="15">
        <v>473.0</v>
      </c>
      <c r="E34" s="15">
        <v>513.0</v>
      </c>
      <c r="F34" s="15">
        <v>733.6348</v>
      </c>
      <c r="G34" s="15"/>
      <c r="H34" s="5"/>
      <c r="I34" s="15">
        <v>280.0</v>
      </c>
      <c r="J34" s="15">
        <v>898.0</v>
      </c>
      <c r="K34" s="15">
        <v>53.0</v>
      </c>
      <c r="L34" s="15">
        <v>473.0</v>
      </c>
      <c r="M34" s="15">
        <v>513.0</v>
      </c>
      <c r="N34" s="15">
        <v>48.88269</v>
      </c>
      <c r="O34" s="2"/>
      <c r="P34" s="16" t="b">
        <f t="shared" ref="P34:R34" si="33">C34=K34</f>
        <v>1</v>
      </c>
      <c r="Q34" s="16" t="b">
        <f t="shared" si="33"/>
        <v>1</v>
      </c>
      <c r="R34" s="16" t="b">
        <f t="shared" si="33"/>
        <v>1</v>
      </c>
      <c r="S34" s="17">
        <f t="shared" si="3"/>
        <v>898</v>
      </c>
      <c r="T34" s="18">
        <f t="shared" si="4"/>
        <v>15.00806932</v>
      </c>
      <c r="U34" s="8"/>
      <c r="V34" s="8"/>
      <c r="W34" s="2"/>
      <c r="X34" s="2"/>
      <c r="Y34" s="2"/>
      <c r="Z34" s="2"/>
      <c r="AA34" s="2"/>
      <c r="AB34" s="2"/>
      <c r="AC34" s="2"/>
    </row>
    <row r="35">
      <c r="A35" s="15">
        <v>281.0</v>
      </c>
      <c r="B35" s="15">
        <v>1053.0</v>
      </c>
      <c r="C35" s="15">
        <v>55.0</v>
      </c>
      <c r="D35" s="15">
        <v>793.0</v>
      </c>
      <c r="E35" s="15">
        <v>836.0</v>
      </c>
      <c r="F35" s="15">
        <v>856.0421</v>
      </c>
      <c r="G35" s="15"/>
      <c r="H35" s="5"/>
      <c r="I35" s="15">
        <v>281.0</v>
      </c>
      <c r="J35" s="15">
        <v>1053.0</v>
      </c>
      <c r="K35" s="15">
        <v>55.0</v>
      </c>
      <c r="L35" s="15">
        <v>793.0</v>
      </c>
      <c r="M35" s="15">
        <v>836.0</v>
      </c>
      <c r="N35" s="15">
        <v>52.1729</v>
      </c>
      <c r="O35" s="2"/>
      <c r="P35" s="16" t="b">
        <f t="shared" ref="P35:R35" si="34">C35=K35</f>
        <v>1</v>
      </c>
      <c r="Q35" s="16" t="b">
        <f t="shared" si="34"/>
        <v>1</v>
      </c>
      <c r="R35" s="16" t="b">
        <f t="shared" si="34"/>
        <v>1</v>
      </c>
      <c r="S35" s="17">
        <f t="shared" si="3"/>
        <v>1053</v>
      </c>
      <c r="T35" s="18">
        <f t="shared" si="4"/>
        <v>16.40779217</v>
      </c>
      <c r="U35" s="8"/>
      <c r="V35" s="8"/>
      <c r="W35" s="2"/>
      <c r="X35" s="2"/>
      <c r="Y35" s="2"/>
      <c r="Z35" s="2"/>
      <c r="AA35" s="2"/>
      <c r="AB35" s="2"/>
      <c r="AC35" s="2"/>
    </row>
    <row r="36">
      <c r="A36" s="15">
        <v>282.0</v>
      </c>
      <c r="B36" s="15">
        <v>1091.0</v>
      </c>
      <c r="C36" s="15">
        <v>78.0</v>
      </c>
      <c r="D36" s="15">
        <v>7.0</v>
      </c>
      <c r="E36" s="15">
        <v>49.0</v>
      </c>
      <c r="F36" s="15">
        <v>920.1076</v>
      </c>
      <c r="G36" s="15"/>
      <c r="H36" s="5"/>
      <c r="I36" s="15">
        <v>282.0</v>
      </c>
      <c r="J36" s="15">
        <v>1091.0</v>
      </c>
      <c r="K36" s="15">
        <v>78.0</v>
      </c>
      <c r="L36" s="15">
        <v>7.0</v>
      </c>
      <c r="M36" s="15">
        <v>49.0</v>
      </c>
      <c r="N36" s="15">
        <v>57.04602</v>
      </c>
      <c r="O36" s="2"/>
      <c r="P36" s="16" t="b">
        <f t="shared" ref="P36:R36" si="35">C36=K36</f>
        <v>1</v>
      </c>
      <c r="Q36" s="16" t="b">
        <f t="shared" si="35"/>
        <v>1</v>
      </c>
      <c r="R36" s="16" t="b">
        <f t="shared" si="35"/>
        <v>1</v>
      </c>
      <c r="S36" s="17">
        <f t="shared" si="3"/>
        <v>1091</v>
      </c>
      <c r="T36" s="18">
        <f t="shared" si="4"/>
        <v>16.12921638</v>
      </c>
      <c r="U36" s="8"/>
      <c r="V36" s="8"/>
      <c r="W36" s="2"/>
      <c r="X36" s="2"/>
      <c r="Y36" s="2"/>
      <c r="Z36" s="2"/>
      <c r="AA36" s="2"/>
      <c r="AB36" s="2"/>
      <c r="AC36" s="2"/>
    </row>
    <row r="37">
      <c r="A37" s="15">
        <v>283.0</v>
      </c>
      <c r="B37" s="15">
        <v>913.0</v>
      </c>
      <c r="C37" s="15">
        <v>51.0</v>
      </c>
      <c r="D37" s="15">
        <v>268.0</v>
      </c>
      <c r="E37" s="15">
        <v>306.0</v>
      </c>
      <c r="F37" s="15">
        <v>751.5748</v>
      </c>
      <c r="G37" s="15"/>
      <c r="H37" s="5"/>
      <c r="I37" s="15">
        <v>283.0</v>
      </c>
      <c r="J37" s="15">
        <v>913.0</v>
      </c>
      <c r="K37" s="15">
        <v>51.0</v>
      </c>
      <c r="L37" s="15">
        <v>268.0</v>
      </c>
      <c r="M37" s="15">
        <v>306.0</v>
      </c>
      <c r="N37" s="15">
        <v>48.78835</v>
      </c>
      <c r="O37" s="2"/>
      <c r="P37" s="16" t="b">
        <f t="shared" ref="P37:R37" si="36">C37=K37</f>
        <v>1</v>
      </c>
      <c r="Q37" s="16" t="b">
        <f t="shared" si="36"/>
        <v>1</v>
      </c>
      <c r="R37" s="16" t="b">
        <f t="shared" si="36"/>
        <v>1</v>
      </c>
      <c r="S37" s="17">
        <f t="shared" si="3"/>
        <v>913</v>
      </c>
      <c r="T37" s="18">
        <f t="shared" si="4"/>
        <v>15.40480053</v>
      </c>
      <c r="U37" s="8"/>
      <c r="V37" s="8"/>
      <c r="W37" s="2"/>
      <c r="X37" s="2"/>
      <c r="Y37" s="2"/>
      <c r="Z37" s="2"/>
      <c r="AA37" s="2"/>
      <c r="AB37" s="2"/>
      <c r="AC37" s="2"/>
    </row>
    <row r="38">
      <c r="A38" s="15">
        <v>284.0</v>
      </c>
      <c r="B38" s="15">
        <v>676.0</v>
      </c>
      <c r="C38" s="15">
        <v>56.0</v>
      </c>
      <c r="D38" s="15">
        <v>3.0</v>
      </c>
      <c r="E38" s="15">
        <v>50.0</v>
      </c>
      <c r="F38" s="15">
        <v>550.4241</v>
      </c>
      <c r="G38" s="15"/>
      <c r="H38" s="5"/>
      <c r="I38" s="15">
        <v>284.0</v>
      </c>
      <c r="J38" s="15">
        <v>676.0</v>
      </c>
      <c r="K38" s="15">
        <v>56.0</v>
      </c>
      <c r="L38" s="15">
        <v>3.0</v>
      </c>
      <c r="M38" s="15">
        <v>50.0</v>
      </c>
      <c r="N38" s="15">
        <v>43.65722</v>
      </c>
      <c r="O38" s="2"/>
      <c r="P38" s="16" t="b">
        <f t="shared" ref="P38:R38" si="37">C38=K38</f>
        <v>1</v>
      </c>
      <c r="Q38" s="16" t="b">
        <f t="shared" si="37"/>
        <v>1</v>
      </c>
      <c r="R38" s="16" t="b">
        <f t="shared" si="37"/>
        <v>1</v>
      </c>
      <c r="S38" s="17">
        <f t="shared" si="3"/>
        <v>676</v>
      </c>
      <c r="T38" s="18">
        <f t="shared" si="4"/>
        <v>12.60785959</v>
      </c>
      <c r="U38" s="8"/>
      <c r="V38" s="8"/>
      <c r="W38" s="2"/>
      <c r="X38" s="2"/>
      <c r="Y38" s="2"/>
      <c r="Z38" s="2"/>
      <c r="AA38" s="2"/>
      <c r="AB38" s="2"/>
      <c r="AC38" s="2"/>
    </row>
    <row r="39">
      <c r="A39" s="15">
        <v>285.0</v>
      </c>
      <c r="B39" s="15">
        <v>1136.0</v>
      </c>
      <c r="C39" s="15">
        <v>65.0</v>
      </c>
      <c r="D39" s="15">
        <v>4.0</v>
      </c>
      <c r="E39" s="15">
        <v>51.0</v>
      </c>
      <c r="F39" s="15">
        <v>940.6516</v>
      </c>
      <c r="G39" s="15"/>
      <c r="H39" s="5"/>
      <c r="I39" s="15">
        <v>285.0</v>
      </c>
      <c r="J39" s="15">
        <v>1136.0</v>
      </c>
      <c r="K39" s="15">
        <v>65.0</v>
      </c>
      <c r="L39" s="15">
        <v>4.0</v>
      </c>
      <c r="M39" s="15">
        <v>51.0</v>
      </c>
      <c r="N39" s="15">
        <v>55.66771</v>
      </c>
      <c r="O39" s="2"/>
      <c r="P39" s="16" t="b">
        <f t="shared" ref="P39:R39" si="38">C39=K39</f>
        <v>1</v>
      </c>
      <c r="Q39" s="16" t="b">
        <f t="shared" si="38"/>
        <v>1</v>
      </c>
      <c r="R39" s="16" t="b">
        <f t="shared" si="38"/>
        <v>1</v>
      </c>
      <c r="S39" s="17">
        <f t="shared" si="3"/>
        <v>1136</v>
      </c>
      <c r="T39" s="18">
        <f t="shared" si="4"/>
        <v>16.89761623</v>
      </c>
      <c r="U39" s="8"/>
      <c r="V39" s="8"/>
      <c r="W39" s="2"/>
      <c r="X39" s="2"/>
      <c r="Y39" s="2"/>
      <c r="Z39" s="2"/>
      <c r="AA39" s="2"/>
      <c r="AB39" s="2"/>
      <c r="AC39" s="2"/>
    </row>
    <row r="40">
      <c r="A40" s="15">
        <v>286.0</v>
      </c>
      <c r="B40" s="15">
        <v>768.0</v>
      </c>
      <c r="C40" s="15">
        <v>67.0</v>
      </c>
      <c r="D40" s="15">
        <v>1.0</v>
      </c>
      <c r="E40" s="15">
        <v>48.0</v>
      </c>
      <c r="F40" s="15">
        <v>636.7829</v>
      </c>
      <c r="G40" s="15"/>
      <c r="H40" s="5"/>
      <c r="I40" s="15">
        <v>286.0</v>
      </c>
      <c r="J40" s="15">
        <v>768.0</v>
      </c>
      <c r="K40" s="15">
        <v>67.0</v>
      </c>
      <c r="L40" s="15">
        <v>1.0</v>
      </c>
      <c r="M40" s="15">
        <v>48.0</v>
      </c>
      <c r="N40" s="15">
        <v>47.36192</v>
      </c>
      <c r="O40" s="2"/>
      <c r="P40" s="16" t="b">
        <f t="shared" ref="P40:R40" si="39">C40=K40</f>
        <v>1</v>
      </c>
      <c r="Q40" s="16" t="b">
        <f t="shared" si="39"/>
        <v>1</v>
      </c>
      <c r="R40" s="16" t="b">
        <f t="shared" si="39"/>
        <v>1</v>
      </c>
      <c r="S40" s="17">
        <f t="shared" si="3"/>
        <v>768</v>
      </c>
      <c r="T40" s="18">
        <f t="shared" si="4"/>
        <v>13.44503981</v>
      </c>
      <c r="U40" s="8"/>
      <c r="V40" s="8"/>
      <c r="W40" s="2"/>
      <c r="X40" s="2"/>
      <c r="Y40" s="2"/>
      <c r="Z40" s="2"/>
      <c r="AA40" s="2"/>
      <c r="AB40" s="2"/>
      <c r="AC40" s="2"/>
    </row>
    <row r="41">
      <c r="A41" s="15">
        <v>287.0</v>
      </c>
      <c r="B41" s="15">
        <v>613.0</v>
      </c>
      <c r="C41" s="15">
        <v>55.0</v>
      </c>
      <c r="D41" s="15">
        <v>17.0</v>
      </c>
      <c r="E41" s="15">
        <v>52.0</v>
      </c>
      <c r="F41" s="15">
        <v>500.8562</v>
      </c>
      <c r="G41" s="15"/>
      <c r="H41" s="5"/>
      <c r="I41" s="15">
        <v>287.0</v>
      </c>
      <c r="J41" s="15">
        <v>613.0</v>
      </c>
      <c r="K41" s="15">
        <v>55.0</v>
      </c>
      <c r="L41" s="15">
        <v>17.0</v>
      </c>
      <c r="M41" s="15">
        <v>52.0</v>
      </c>
      <c r="N41" s="15">
        <v>43.79015</v>
      </c>
      <c r="O41" s="2"/>
      <c r="P41" s="16" t="b">
        <f t="shared" ref="P41:R41" si="40">C41=K41</f>
        <v>1</v>
      </c>
      <c r="Q41" s="16" t="b">
        <f t="shared" si="40"/>
        <v>1</v>
      </c>
      <c r="R41" s="16" t="b">
        <f t="shared" si="40"/>
        <v>1</v>
      </c>
      <c r="S41" s="17">
        <f t="shared" si="3"/>
        <v>613</v>
      </c>
      <c r="T41" s="18">
        <f t="shared" si="4"/>
        <v>11.43764522</v>
      </c>
      <c r="U41" s="8"/>
      <c r="V41" s="8"/>
      <c r="W41" s="2"/>
      <c r="X41" s="2"/>
      <c r="Y41" s="2"/>
      <c r="Z41" s="2"/>
      <c r="AA41" s="2"/>
      <c r="AB41" s="2"/>
      <c r="AC41" s="2"/>
    </row>
    <row r="42">
      <c r="A42" s="15">
        <v>288.0</v>
      </c>
      <c r="B42" s="15">
        <v>866.0</v>
      </c>
      <c r="C42" s="15">
        <v>63.0</v>
      </c>
      <c r="D42" s="15">
        <v>1.0</v>
      </c>
      <c r="E42" s="15">
        <v>50.0</v>
      </c>
      <c r="F42" s="15">
        <v>722.7433</v>
      </c>
      <c r="G42" s="15"/>
      <c r="H42" s="5"/>
      <c r="I42" s="15">
        <v>288.0</v>
      </c>
      <c r="J42" s="15">
        <v>866.0</v>
      </c>
      <c r="K42" s="15">
        <v>63.0</v>
      </c>
      <c r="L42" s="15">
        <v>1.0</v>
      </c>
      <c r="M42" s="15">
        <v>50.0</v>
      </c>
      <c r="N42" s="15">
        <v>49.68448</v>
      </c>
      <c r="O42" s="2"/>
      <c r="P42" s="16" t="b">
        <f t="shared" ref="P42:R42" si="41">C42=K42</f>
        <v>1</v>
      </c>
      <c r="Q42" s="16" t="b">
        <f t="shared" si="41"/>
        <v>1</v>
      </c>
      <c r="R42" s="16" t="b">
        <f t="shared" si="41"/>
        <v>1</v>
      </c>
      <c r="S42" s="17">
        <f t="shared" si="3"/>
        <v>866</v>
      </c>
      <c r="T42" s="18">
        <f t="shared" si="4"/>
        <v>14.54666125</v>
      </c>
      <c r="U42" s="8"/>
      <c r="V42" s="8"/>
      <c r="W42" s="2"/>
      <c r="X42" s="2"/>
      <c r="Y42" s="2"/>
      <c r="Z42" s="2"/>
      <c r="AA42" s="2"/>
      <c r="AB42" s="2"/>
      <c r="AC42" s="2"/>
    </row>
    <row r="43">
      <c r="A43" s="15">
        <v>289.0</v>
      </c>
      <c r="B43" s="15">
        <v>1031.0</v>
      </c>
      <c r="C43" s="15">
        <v>49.0</v>
      </c>
      <c r="D43" s="15">
        <v>7.0</v>
      </c>
      <c r="E43" s="15">
        <v>55.0</v>
      </c>
      <c r="F43" s="15">
        <v>852.6945</v>
      </c>
      <c r="G43" s="15"/>
      <c r="H43" s="5"/>
      <c r="I43" s="15">
        <v>289.0</v>
      </c>
      <c r="J43" s="15">
        <v>1031.0</v>
      </c>
      <c r="K43" s="15">
        <v>49.0</v>
      </c>
      <c r="L43" s="15">
        <v>7.0</v>
      </c>
      <c r="M43" s="15">
        <v>55.0</v>
      </c>
      <c r="N43" s="15">
        <v>51.75296</v>
      </c>
      <c r="O43" s="2"/>
      <c r="P43" s="16" t="b">
        <f t="shared" ref="P43:R43" si="42">C43=K43</f>
        <v>1</v>
      </c>
      <c r="Q43" s="16" t="b">
        <f t="shared" si="42"/>
        <v>1</v>
      </c>
      <c r="R43" s="16" t="b">
        <f t="shared" si="42"/>
        <v>1</v>
      </c>
      <c r="S43" s="17">
        <f t="shared" si="3"/>
        <v>1031</v>
      </c>
      <c r="T43" s="18">
        <f t="shared" si="4"/>
        <v>16.476246</v>
      </c>
      <c r="U43" s="8"/>
      <c r="V43" s="8"/>
      <c r="W43" s="2"/>
      <c r="X43" s="2"/>
      <c r="Y43" s="2"/>
      <c r="Z43" s="2"/>
      <c r="AA43" s="2"/>
      <c r="AB43" s="2"/>
      <c r="AC43" s="2"/>
    </row>
    <row r="44">
      <c r="A44" s="15">
        <v>290.0</v>
      </c>
      <c r="B44" s="15">
        <v>662.0</v>
      </c>
      <c r="C44" s="15">
        <v>65.0</v>
      </c>
      <c r="D44" s="15">
        <v>4.0</v>
      </c>
      <c r="E44" s="15">
        <v>57.0</v>
      </c>
      <c r="F44" s="15">
        <v>538.9153</v>
      </c>
      <c r="G44" s="15"/>
      <c r="H44" s="5"/>
      <c r="I44" s="15">
        <v>290.0</v>
      </c>
      <c r="J44" s="15">
        <v>662.0</v>
      </c>
      <c r="K44" s="15">
        <v>65.0</v>
      </c>
      <c r="L44" s="15">
        <v>4.0</v>
      </c>
      <c r="M44" s="15">
        <v>57.0</v>
      </c>
      <c r="N44" s="15">
        <v>44.02688</v>
      </c>
      <c r="O44" s="2"/>
      <c r="P44" s="16" t="b">
        <f t="shared" ref="P44:R44" si="43">C44=K44</f>
        <v>1</v>
      </c>
      <c r="Q44" s="16" t="b">
        <f t="shared" si="43"/>
        <v>1</v>
      </c>
      <c r="R44" s="16" t="b">
        <f t="shared" si="43"/>
        <v>1</v>
      </c>
      <c r="S44" s="17">
        <f t="shared" si="3"/>
        <v>662</v>
      </c>
      <c r="T44" s="18">
        <f t="shared" si="4"/>
        <v>12.24059711</v>
      </c>
      <c r="U44" s="8"/>
      <c r="V44" s="8"/>
      <c r="W44" s="2"/>
      <c r="X44" s="2"/>
      <c r="Y44" s="2"/>
      <c r="Z44" s="2"/>
      <c r="AA44" s="2"/>
      <c r="AB44" s="2"/>
      <c r="AC44" s="2"/>
    </row>
    <row r="45">
      <c r="A45" s="15">
        <v>291.0</v>
      </c>
      <c r="B45" s="15">
        <v>959.0</v>
      </c>
      <c r="C45" s="15">
        <v>47.0</v>
      </c>
      <c r="D45" s="15">
        <v>12.0</v>
      </c>
      <c r="E45" s="15">
        <v>58.0</v>
      </c>
      <c r="F45" s="15">
        <v>796.6056</v>
      </c>
      <c r="G45" s="15"/>
      <c r="H45" s="5"/>
      <c r="I45" s="15">
        <v>291.0</v>
      </c>
      <c r="J45" s="15">
        <v>959.0</v>
      </c>
      <c r="K45" s="15">
        <v>47.0</v>
      </c>
      <c r="L45" s="15">
        <v>12.0</v>
      </c>
      <c r="M45" s="15">
        <v>58.0</v>
      </c>
      <c r="N45" s="15">
        <v>50.78528</v>
      </c>
      <c r="O45" s="2"/>
      <c r="P45" s="16" t="b">
        <f t="shared" ref="P45:R45" si="44">C45=K45</f>
        <v>1</v>
      </c>
      <c r="Q45" s="16" t="b">
        <f t="shared" si="44"/>
        <v>1</v>
      </c>
      <c r="R45" s="16" t="b">
        <f t="shared" si="44"/>
        <v>1</v>
      </c>
      <c r="S45" s="17">
        <f t="shared" si="3"/>
        <v>959</v>
      </c>
      <c r="T45" s="18">
        <f t="shared" si="4"/>
        <v>15.68575776</v>
      </c>
      <c r="U45" s="8"/>
      <c r="V45" s="8"/>
      <c r="W45" s="2"/>
      <c r="X45" s="2"/>
      <c r="Y45" s="2"/>
      <c r="Z45" s="2"/>
      <c r="AA45" s="2"/>
      <c r="AB45" s="2"/>
      <c r="AC45" s="2"/>
    </row>
    <row r="46">
      <c r="A46" s="15">
        <v>292.0</v>
      </c>
      <c r="B46" s="15">
        <v>614.0</v>
      </c>
      <c r="C46" s="15">
        <v>47.0</v>
      </c>
      <c r="D46" s="15">
        <v>71.0</v>
      </c>
      <c r="E46" s="15">
        <v>118.0</v>
      </c>
      <c r="F46" s="15">
        <v>518.7373</v>
      </c>
      <c r="G46" s="15"/>
      <c r="H46" s="5"/>
      <c r="I46" s="15">
        <v>292.0</v>
      </c>
      <c r="J46" s="15">
        <v>614.0</v>
      </c>
      <c r="K46" s="15">
        <v>47.0</v>
      </c>
      <c r="L46" s="15">
        <v>71.0</v>
      </c>
      <c r="M46" s="15">
        <v>118.0</v>
      </c>
      <c r="N46" s="15">
        <v>41.45766</v>
      </c>
      <c r="O46" s="2"/>
      <c r="P46" s="16" t="b">
        <f t="shared" ref="P46:R46" si="45">C46=K46</f>
        <v>1</v>
      </c>
      <c r="Q46" s="16" t="b">
        <f t="shared" si="45"/>
        <v>1</v>
      </c>
      <c r="R46" s="16" t="b">
        <f t="shared" si="45"/>
        <v>1</v>
      </c>
      <c r="S46" s="17">
        <f t="shared" si="3"/>
        <v>614</v>
      </c>
      <c r="T46" s="18">
        <f t="shared" si="4"/>
        <v>12.5124597</v>
      </c>
      <c r="U46" s="8"/>
      <c r="V46" s="8"/>
      <c r="W46" s="2"/>
      <c r="X46" s="2"/>
      <c r="Y46" s="2"/>
      <c r="Z46" s="2"/>
      <c r="AA46" s="2"/>
      <c r="AB46" s="2"/>
      <c r="AC46" s="2"/>
    </row>
    <row r="47">
      <c r="A47" s="15">
        <v>293.0</v>
      </c>
      <c r="B47" s="15">
        <v>695.0</v>
      </c>
      <c r="C47" s="15">
        <v>77.0</v>
      </c>
      <c r="D47" s="15">
        <v>4.0</v>
      </c>
      <c r="E47" s="15">
        <v>56.0</v>
      </c>
      <c r="F47" s="15">
        <v>570.9946</v>
      </c>
      <c r="G47" s="15"/>
      <c r="H47" s="5"/>
      <c r="I47" s="15">
        <v>293.0</v>
      </c>
      <c r="J47" s="15">
        <v>695.0</v>
      </c>
      <c r="K47" s="15">
        <v>77.0</v>
      </c>
      <c r="L47" s="15">
        <v>4.0</v>
      </c>
      <c r="M47" s="15">
        <v>56.0</v>
      </c>
      <c r="N47" s="15">
        <v>43.66016</v>
      </c>
      <c r="O47" s="2"/>
      <c r="P47" s="16" t="b">
        <f t="shared" ref="P47:R47" si="46">C47=K47</f>
        <v>1</v>
      </c>
      <c r="Q47" s="16" t="b">
        <f t="shared" si="46"/>
        <v>1</v>
      </c>
      <c r="R47" s="16" t="b">
        <f t="shared" si="46"/>
        <v>1</v>
      </c>
      <c r="S47" s="17">
        <f t="shared" si="3"/>
        <v>695</v>
      </c>
      <c r="T47" s="18">
        <f t="shared" si="4"/>
        <v>13.07816096</v>
      </c>
      <c r="U47" s="8"/>
      <c r="V47" s="8"/>
      <c r="W47" s="2"/>
      <c r="X47" s="2"/>
      <c r="Y47" s="2"/>
      <c r="Z47" s="2"/>
      <c r="AA47" s="2"/>
      <c r="AB47" s="2"/>
      <c r="AC47" s="2"/>
    </row>
    <row r="48">
      <c r="A48" s="15">
        <v>294.0</v>
      </c>
      <c r="B48" s="15">
        <v>895.0</v>
      </c>
      <c r="C48" s="15">
        <v>50.0</v>
      </c>
      <c r="D48" s="15">
        <v>267.0</v>
      </c>
      <c r="E48" s="15">
        <v>306.0</v>
      </c>
      <c r="F48" s="15">
        <v>728.2359</v>
      </c>
      <c r="G48" s="15"/>
      <c r="H48" s="5"/>
      <c r="I48" s="15">
        <v>294.0</v>
      </c>
      <c r="J48" s="15">
        <v>895.0</v>
      </c>
      <c r="K48" s="15">
        <v>50.0</v>
      </c>
      <c r="L48" s="15">
        <v>267.0</v>
      </c>
      <c r="M48" s="15">
        <v>306.0</v>
      </c>
      <c r="N48" s="15">
        <v>47.85386</v>
      </c>
      <c r="O48" s="2"/>
      <c r="P48" s="16" t="b">
        <f t="shared" ref="P48:R48" si="47">C48=K48</f>
        <v>1</v>
      </c>
      <c r="Q48" s="16" t="b">
        <f t="shared" si="47"/>
        <v>1</v>
      </c>
      <c r="R48" s="16" t="b">
        <f t="shared" si="47"/>
        <v>1</v>
      </c>
      <c r="S48" s="17">
        <f t="shared" si="3"/>
        <v>895</v>
      </c>
      <c r="T48" s="18">
        <f t="shared" si="4"/>
        <v>15.21791346</v>
      </c>
      <c r="U48" s="8"/>
      <c r="V48" s="8"/>
      <c r="W48" s="2"/>
      <c r="X48" s="2"/>
      <c r="Y48" s="2"/>
      <c r="Z48" s="2"/>
      <c r="AA48" s="2"/>
      <c r="AB48" s="2"/>
      <c r="AC48" s="2"/>
    </row>
    <row r="49">
      <c r="A49" s="15">
        <v>295.0</v>
      </c>
      <c r="B49" s="15">
        <v>1135.0</v>
      </c>
      <c r="C49" s="15">
        <v>74.0</v>
      </c>
      <c r="D49" s="15">
        <v>16.0</v>
      </c>
      <c r="E49" s="15">
        <v>63.0</v>
      </c>
      <c r="F49" s="15">
        <v>936.6239</v>
      </c>
      <c r="G49" s="15"/>
      <c r="H49" s="5"/>
      <c r="I49" s="15">
        <v>295.0</v>
      </c>
      <c r="J49" s="15">
        <v>1135.0</v>
      </c>
      <c r="K49" s="15">
        <v>74.0</v>
      </c>
      <c r="L49" s="15">
        <v>16.0</v>
      </c>
      <c r="M49" s="15">
        <v>63.0</v>
      </c>
      <c r="N49" s="15">
        <v>55.72726</v>
      </c>
      <c r="O49" s="2"/>
      <c r="P49" s="16" t="b">
        <f t="shared" ref="P49:R49" si="48">C49=K49</f>
        <v>1</v>
      </c>
      <c r="Q49" s="16" t="b">
        <f t="shared" si="48"/>
        <v>1</v>
      </c>
      <c r="R49" s="16" t="b">
        <f t="shared" si="48"/>
        <v>1</v>
      </c>
      <c r="S49" s="17">
        <f t="shared" si="3"/>
        <v>1135</v>
      </c>
      <c r="T49" s="18">
        <f t="shared" si="4"/>
        <v>16.80728426</v>
      </c>
      <c r="U49" s="8"/>
      <c r="V49" s="8"/>
      <c r="W49" s="2"/>
      <c r="X49" s="2"/>
      <c r="Y49" s="2"/>
      <c r="Z49" s="2"/>
      <c r="AA49" s="2"/>
      <c r="AB49" s="2"/>
      <c r="AC49" s="2"/>
    </row>
    <row r="50">
      <c r="A50" s="15">
        <v>296.0</v>
      </c>
      <c r="B50" s="15">
        <v>884.0</v>
      </c>
      <c r="C50" s="15">
        <v>54.0</v>
      </c>
      <c r="D50" s="15">
        <v>690.0</v>
      </c>
      <c r="E50" s="15">
        <v>745.0</v>
      </c>
      <c r="F50" s="15">
        <v>716.4964</v>
      </c>
      <c r="G50" s="15"/>
      <c r="H50" s="5"/>
      <c r="I50" s="15">
        <v>296.0</v>
      </c>
      <c r="J50" s="15">
        <v>884.0</v>
      </c>
      <c r="K50" s="15">
        <v>54.0</v>
      </c>
      <c r="L50" s="15">
        <v>690.0</v>
      </c>
      <c r="M50" s="15">
        <v>745.0</v>
      </c>
      <c r="N50" s="15">
        <v>51.36998</v>
      </c>
      <c r="O50" s="2"/>
      <c r="P50" s="16" t="b">
        <f t="shared" ref="P50:R50" si="49">C50=K50</f>
        <v>1</v>
      </c>
      <c r="Q50" s="16" t="b">
        <f t="shared" si="49"/>
        <v>1</v>
      </c>
      <c r="R50" s="16" t="b">
        <f t="shared" si="49"/>
        <v>1</v>
      </c>
      <c r="S50" s="17">
        <f t="shared" si="3"/>
        <v>884</v>
      </c>
      <c r="T50" s="18">
        <f t="shared" si="4"/>
        <v>13.94776482</v>
      </c>
      <c r="U50" s="8"/>
      <c r="V50" s="8"/>
      <c r="W50" s="2"/>
      <c r="X50" s="2"/>
      <c r="Y50" s="2"/>
      <c r="Z50" s="2"/>
      <c r="AA50" s="2"/>
      <c r="AB50" s="2"/>
      <c r="AC50" s="2"/>
    </row>
    <row r="51">
      <c r="A51" s="15">
        <v>297.0</v>
      </c>
      <c r="B51" s="15">
        <v>966.0</v>
      </c>
      <c r="C51" s="15">
        <v>63.0</v>
      </c>
      <c r="D51" s="15">
        <v>3.0</v>
      </c>
      <c r="E51" s="15">
        <v>51.0</v>
      </c>
      <c r="F51" s="15">
        <v>782.0007</v>
      </c>
      <c r="G51" s="15"/>
      <c r="H51" s="5"/>
      <c r="I51" s="15">
        <v>297.0</v>
      </c>
      <c r="J51" s="15">
        <v>966.0</v>
      </c>
      <c r="K51" s="15">
        <v>63.0</v>
      </c>
      <c r="L51" s="15">
        <v>3.0</v>
      </c>
      <c r="M51" s="15">
        <v>51.0</v>
      </c>
      <c r="N51" s="15">
        <v>53.69885</v>
      </c>
      <c r="O51" s="2"/>
      <c r="P51" s="16" t="b">
        <f t="shared" ref="P51:R51" si="50">C51=K51</f>
        <v>1</v>
      </c>
      <c r="Q51" s="16" t="b">
        <f t="shared" si="50"/>
        <v>1</v>
      </c>
      <c r="R51" s="16" t="b">
        <f t="shared" si="50"/>
        <v>1</v>
      </c>
      <c r="S51" s="17">
        <f t="shared" si="3"/>
        <v>966</v>
      </c>
      <c r="T51" s="18">
        <f t="shared" si="4"/>
        <v>14.56270851</v>
      </c>
      <c r="U51" s="8"/>
      <c r="V51" s="8"/>
      <c r="W51" s="2"/>
      <c r="X51" s="2"/>
      <c r="Y51" s="2"/>
      <c r="Z51" s="2"/>
      <c r="AA51" s="2"/>
      <c r="AB51" s="2"/>
      <c r="AC51" s="2"/>
    </row>
    <row r="52">
      <c r="A52" s="15">
        <v>298.0</v>
      </c>
      <c r="B52" s="15">
        <v>607.0</v>
      </c>
      <c r="C52" s="15">
        <v>58.0</v>
      </c>
      <c r="D52" s="15">
        <v>3.0</v>
      </c>
      <c r="E52" s="15">
        <v>45.0</v>
      </c>
      <c r="F52" s="15">
        <v>492.632</v>
      </c>
      <c r="G52" s="15"/>
      <c r="H52" s="5"/>
      <c r="I52" s="15">
        <v>298.0</v>
      </c>
      <c r="J52" s="15">
        <v>607.0</v>
      </c>
      <c r="K52" s="15">
        <v>58.0</v>
      </c>
      <c r="L52" s="15">
        <v>3.0</v>
      </c>
      <c r="M52" s="15">
        <v>45.0</v>
      </c>
      <c r="N52" s="15">
        <v>40.59955</v>
      </c>
      <c r="O52" s="2"/>
      <c r="P52" s="16" t="b">
        <f t="shared" ref="P52:R52" si="51">C52=K52</f>
        <v>1</v>
      </c>
      <c r="Q52" s="16" t="b">
        <f t="shared" si="51"/>
        <v>1</v>
      </c>
      <c r="R52" s="16" t="b">
        <f t="shared" si="51"/>
        <v>1</v>
      </c>
      <c r="S52" s="17">
        <f t="shared" si="3"/>
        <v>607</v>
      </c>
      <c r="T52" s="18">
        <f t="shared" si="4"/>
        <v>12.13392759</v>
      </c>
      <c r="U52" s="8"/>
      <c r="V52" s="8"/>
      <c r="W52" s="2"/>
      <c r="X52" s="2"/>
      <c r="Y52" s="2"/>
      <c r="Z52" s="2"/>
      <c r="AA52" s="2"/>
      <c r="AB52" s="2"/>
      <c r="AC52" s="2"/>
    </row>
    <row r="53">
      <c r="A53" s="15">
        <v>299.0</v>
      </c>
      <c r="B53" s="15">
        <v>993.0</v>
      </c>
      <c r="C53" s="15">
        <v>64.0</v>
      </c>
      <c r="D53" s="15">
        <v>387.0</v>
      </c>
      <c r="E53" s="15">
        <v>435.0</v>
      </c>
      <c r="F53" s="15">
        <v>808.4088</v>
      </c>
      <c r="G53" s="15"/>
      <c r="H53" s="5"/>
      <c r="I53" s="15">
        <v>299.0</v>
      </c>
      <c r="J53" s="15">
        <v>993.0</v>
      </c>
      <c r="K53" s="15">
        <v>64.0</v>
      </c>
      <c r="L53" s="15">
        <v>387.0</v>
      </c>
      <c r="M53" s="15">
        <v>435.0</v>
      </c>
      <c r="N53" s="15">
        <v>52.79462</v>
      </c>
      <c r="O53" s="2"/>
      <c r="P53" s="16" t="b">
        <f t="shared" ref="P53:R53" si="52">C53=K53</f>
        <v>1</v>
      </c>
      <c r="Q53" s="16" t="b">
        <f t="shared" si="52"/>
        <v>1</v>
      </c>
      <c r="R53" s="16" t="b">
        <f t="shared" si="52"/>
        <v>1</v>
      </c>
      <c r="S53" s="17">
        <f t="shared" si="3"/>
        <v>993</v>
      </c>
      <c r="T53" s="18">
        <f t="shared" si="4"/>
        <v>15.31233296</v>
      </c>
      <c r="U53" s="8"/>
      <c r="V53" s="8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5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5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5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5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5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5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5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5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5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5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5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5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5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5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5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5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5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5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5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5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5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5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5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5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5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5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5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5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5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5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5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5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5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5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5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5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5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5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5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5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5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5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5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5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5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5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5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5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5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5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5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5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5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5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5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5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5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5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5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5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5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5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5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5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5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5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5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5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5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5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5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5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5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5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5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5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5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5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5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5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5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5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5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5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5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5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5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5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5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5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5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5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5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5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5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5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5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5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5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5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5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5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5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5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5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5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5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5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5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5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5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5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5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5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5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5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5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5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5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5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5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5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5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5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5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5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5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5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5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5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5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5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5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5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5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5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5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5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5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5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5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5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5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5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5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5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5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5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5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5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5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5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5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5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5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5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5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5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5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5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5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5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5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5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5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5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5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5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5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5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5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5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5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5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5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5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5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5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5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5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5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5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5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5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5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5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5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5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5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5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5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5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5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5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5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5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5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5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5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5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5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5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5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5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5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5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5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5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5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5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5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5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5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5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5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5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5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5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5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5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5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5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5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5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5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5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5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5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5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5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5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5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5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5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5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5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5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5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5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5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5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5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5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5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5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5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5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5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5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5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5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5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5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5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5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5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5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5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5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5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5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5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5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5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5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5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5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5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5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5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5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5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5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5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5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5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5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5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5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5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5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5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5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5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5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5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5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5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5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5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5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5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5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5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5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5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5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5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5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5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5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5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5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5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5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5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5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5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5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5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5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5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5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5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5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5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5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5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5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5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5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5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5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5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5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5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5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5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5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5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5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5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5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5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5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5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5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5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5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5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5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5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5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5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5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5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5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5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5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5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5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5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5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5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5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5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5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5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5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5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5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5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5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5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5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5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5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5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5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5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5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5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5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5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5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5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5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5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5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5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5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5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5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5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5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5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5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5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5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5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5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5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5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5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5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5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5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5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5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5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5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5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5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5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5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5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5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5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5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5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5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5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5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5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5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5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5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5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5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5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5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5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5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5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5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5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5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5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5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5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5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5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5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5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5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5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5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5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5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5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5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5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5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5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5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5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5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5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5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5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5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5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5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5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5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5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5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5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5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5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5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5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5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5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5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5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5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5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5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5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5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5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5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5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5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5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5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5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5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5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5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5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5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5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5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5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5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5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5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5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5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5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5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5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5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5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5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5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5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5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5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5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5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5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5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5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5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5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5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5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5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5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5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5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5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5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5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5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5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5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5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5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5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5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5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5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5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5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5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5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5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5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5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5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5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5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5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5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5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5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5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5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5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5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5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5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5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5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5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5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5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5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5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5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5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5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5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5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5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5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5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5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5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5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5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5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5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5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5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5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5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5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5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5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5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5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5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5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5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5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5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5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5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5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5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5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5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5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5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5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5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5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5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5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5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5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5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5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5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5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5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5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5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5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5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5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5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5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5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5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5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5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5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5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5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5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5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5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5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5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5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5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5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5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5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5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5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5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5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5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5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5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5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5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5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5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5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5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5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5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5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5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5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5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5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5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5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5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5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5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5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5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5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5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5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5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5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5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5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5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5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5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5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5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5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5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5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5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5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5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5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5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5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5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5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5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5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5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5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5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5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5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5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5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5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5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5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5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5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5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5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5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5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5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5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5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5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5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5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5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5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5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5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5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5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5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5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5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5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5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5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5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5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5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5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5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5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5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5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5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5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5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5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5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5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5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5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5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5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5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5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5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5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5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5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O1"/>
    <mergeCell ref="A2:G2"/>
    <mergeCell ref="I2:O2"/>
    <mergeCell ref="P2:R2"/>
    <mergeCell ref="T2:V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29</v>
      </c>
      <c r="J1" s="2"/>
      <c r="K1" s="3" t="s">
        <v>30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4" t="s">
        <v>2</v>
      </c>
      <c r="H2" s="5"/>
      <c r="I2" s="6" t="s">
        <v>3</v>
      </c>
      <c r="P2" s="7" t="s">
        <v>4</v>
      </c>
      <c r="S2" s="8"/>
      <c r="T2" s="9" t="s">
        <v>5</v>
      </c>
      <c r="W2" s="2"/>
      <c r="X2" s="2"/>
      <c r="Y2" s="2"/>
      <c r="Z2" s="2"/>
      <c r="AA2" s="2"/>
      <c r="AB2" s="2"/>
      <c r="AC2" s="2"/>
    </row>
    <row r="3">
      <c r="A3" s="10" t="s">
        <v>6</v>
      </c>
      <c r="B3" s="10" t="s">
        <v>7</v>
      </c>
      <c r="C3" s="10" t="s">
        <v>8</v>
      </c>
      <c r="D3" s="10" t="s">
        <v>9</v>
      </c>
      <c r="E3" s="10" t="s">
        <v>10</v>
      </c>
      <c r="F3" s="11" t="s">
        <v>11</v>
      </c>
      <c r="G3" s="11" t="s">
        <v>20</v>
      </c>
      <c r="H3" s="12" t="s">
        <v>12</v>
      </c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  <c r="N3" s="11" t="s">
        <v>11</v>
      </c>
      <c r="O3" s="11" t="s">
        <v>20</v>
      </c>
      <c r="P3" s="13" t="s">
        <v>8</v>
      </c>
      <c r="Q3" s="13" t="s">
        <v>13</v>
      </c>
      <c r="R3" s="13" t="s">
        <v>10</v>
      </c>
      <c r="S3" s="13" t="s">
        <v>7</v>
      </c>
      <c r="T3" s="14" t="s">
        <v>5</v>
      </c>
      <c r="U3" s="8"/>
      <c r="V3" s="8"/>
      <c r="W3" s="2"/>
      <c r="X3" s="2"/>
      <c r="Y3" s="2"/>
      <c r="Z3" s="2"/>
      <c r="AA3" s="2"/>
      <c r="AB3" s="2"/>
      <c r="AC3" s="2"/>
    </row>
    <row r="4">
      <c r="A4" s="15">
        <v>1000.0</v>
      </c>
      <c r="B4" s="15">
        <v>122.0</v>
      </c>
      <c r="C4" s="15">
        <v>44.0</v>
      </c>
      <c r="D4" s="15">
        <v>61.0</v>
      </c>
      <c r="E4" s="15">
        <v>107.0</v>
      </c>
      <c r="F4" s="15">
        <v>104.7493</v>
      </c>
      <c r="G4" s="15"/>
      <c r="H4" s="5">
        <f>MAX(C:C)</f>
        <v>244</v>
      </c>
      <c r="I4" s="15">
        <v>1000.0</v>
      </c>
      <c r="J4" s="15">
        <v>122.0</v>
      </c>
      <c r="K4" s="15">
        <v>44.0</v>
      </c>
      <c r="L4" s="15">
        <v>61.0</v>
      </c>
      <c r="M4" s="15">
        <v>107.0</v>
      </c>
      <c r="N4" s="15">
        <v>22.73888</v>
      </c>
      <c r="O4" s="2"/>
      <c r="P4" s="16" t="b">
        <f t="shared" ref="P4:R4" si="1">C4=K4</f>
        <v>1</v>
      </c>
      <c r="Q4" s="16" t="b">
        <f t="shared" si="1"/>
        <v>1</v>
      </c>
      <c r="R4" s="16" t="b">
        <f t="shared" si="1"/>
        <v>1</v>
      </c>
      <c r="S4" s="17">
        <f t="shared" ref="S4:S53" si="3">J4</f>
        <v>122</v>
      </c>
      <c r="T4" s="18">
        <f t="shared" ref="T4:T53" si="4">F4/N4</f>
        <v>4.606616509</v>
      </c>
      <c r="U4" s="19" t="s">
        <v>14</v>
      </c>
      <c r="V4" s="20">
        <f>AVERAGE(T:T)</f>
        <v>12.61172933</v>
      </c>
      <c r="W4" s="2"/>
      <c r="X4" s="2"/>
      <c r="Y4" s="2"/>
      <c r="Z4" s="2"/>
      <c r="AA4" s="2"/>
      <c r="AB4" s="2"/>
      <c r="AC4" s="2"/>
    </row>
    <row r="5">
      <c r="A5" s="15">
        <v>1001.0</v>
      </c>
      <c r="B5" s="15">
        <v>383.0</v>
      </c>
      <c r="C5" s="15">
        <v>41.0</v>
      </c>
      <c r="D5" s="15">
        <v>98.0</v>
      </c>
      <c r="E5" s="15">
        <v>141.0</v>
      </c>
      <c r="F5" s="15">
        <v>322.1123</v>
      </c>
      <c r="G5" s="15"/>
      <c r="H5" s="12" t="s">
        <v>15</v>
      </c>
      <c r="I5" s="15">
        <v>1001.0</v>
      </c>
      <c r="J5" s="15">
        <v>383.0</v>
      </c>
      <c r="K5" s="15">
        <v>41.0</v>
      </c>
      <c r="L5" s="15">
        <v>98.0</v>
      </c>
      <c r="M5" s="15">
        <v>141.0</v>
      </c>
      <c r="N5" s="15">
        <v>34.93565</v>
      </c>
      <c r="O5" s="2"/>
      <c r="P5" s="16" t="b">
        <f t="shared" ref="P5:R5" si="2">C5=K5</f>
        <v>1</v>
      </c>
      <c r="Q5" s="16" t="b">
        <f t="shared" si="2"/>
        <v>1</v>
      </c>
      <c r="R5" s="16" t="b">
        <f t="shared" si="2"/>
        <v>1</v>
      </c>
      <c r="S5" s="17">
        <f t="shared" si="3"/>
        <v>383</v>
      </c>
      <c r="T5" s="18">
        <f t="shared" si="4"/>
        <v>9.220160495</v>
      </c>
      <c r="U5" s="19" t="s">
        <v>16</v>
      </c>
      <c r="V5" s="20">
        <f>max(T:T)</f>
        <v>20.53376955</v>
      </c>
      <c r="W5" s="2"/>
      <c r="X5" s="2"/>
      <c r="Y5" s="2"/>
      <c r="Z5" s="2"/>
      <c r="AA5" s="2"/>
      <c r="AB5" s="2"/>
      <c r="AC5" s="2"/>
    </row>
    <row r="6">
      <c r="A6" s="15">
        <v>1002.0</v>
      </c>
      <c r="B6" s="15">
        <v>975.0</v>
      </c>
      <c r="C6" s="15">
        <v>73.0</v>
      </c>
      <c r="D6" s="15">
        <v>611.0</v>
      </c>
      <c r="E6" s="15">
        <v>658.0</v>
      </c>
      <c r="F6" s="15">
        <v>826.7536</v>
      </c>
      <c r="G6" s="15"/>
      <c r="H6" s="5">
        <f t="array" ref="H6">INDEX(A:A, MATCH(H4, C:C, 0))</f>
        <v>1018</v>
      </c>
      <c r="I6" s="15">
        <v>1002.0</v>
      </c>
      <c r="J6" s="15">
        <v>975.0</v>
      </c>
      <c r="K6" s="15">
        <v>73.0</v>
      </c>
      <c r="L6" s="15">
        <v>611.0</v>
      </c>
      <c r="M6" s="15">
        <v>658.0</v>
      </c>
      <c r="N6" s="15">
        <v>51.52563</v>
      </c>
      <c r="O6" s="2"/>
      <c r="P6" s="16" t="b">
        <f t="shared" ref="P6:R6" si="5">C6=K6</f>
        <v>1</v>
      </c>
      <c r="Q6" s="16" t="b">
        <f t="shared" si="5"/>
        <v>1</v>
      </c>
      <c r="R6" s="16" t="b">
        <f t="shared" si="5"/>
        <v>1</v>
      </c>
      <c r="S6" s="17">
        <f t="shared" si="3"/>
        <v>975</v>
      </c>
      <c r="T6" s="18">
        <f t="shared" si="4"/>
        <v>16.04548261</v>
      </c>
      <c r="U6" s="19" t="s">
        <v>17</v>
      </c>
      <c r="V6" s="20">
        <f>MIN(T:T)</f>
        <v>3.875473701</v>
      </c>
      <c r="W6" s="2"/>
      <c r="X6" s="2"/>
      <c r="Y6" s="2"/>
      <c r="Z6" s="2"/>
      <c r="AA6" s="2"/>
      <c r="AB6" s="2"/>
      <c r="AC6" s="2"/>
    </row>
    <row r="7">
      <c r="A7" s="15">
        <v>1003.0</v>
      </c>
      <c r="B7" s="15">
        <v>778.0</v>
      </c>
      <c r="C7" s="15">
        <v>49.0</v>
      </c>
      <c r="D7" s="15">
        <v>452.0</v>
      </c>
      <c r="E7" s="15">
        <v>504.0</v>
      </c>
      <c r="F7" s="15">
        <v>668.873</v>
      </c>
      <c r="G7" s="15"/>
      <c r="H7" s="5"/>
      <c r="I7" s="15">
        <v>1003.0</v>
      </c>
      <c r="J7" s="15">
        <v>778.0</v>
      </c>
      <c r="K7" s="15">
        <v>49.0</v>
      </c>
      <c r="L7" s="15">
        <v>452.0</v>
      </c>
      <c r="M7" s="15">
        <v>504.0</v>
      </c>
      <c r="N7" s="15">
        <v>47.55542</v>
      </c>
      <c r="O7" s="2"/>
      <c r="P7" s="16" t="b">
        <f t="shared" ref="P7:R7" si="6">C7=K7</f>
        <v>1</v>
      </c>
      <c r="Q7" s="16" t="b">
        <f t="shared" si="6"/>
        <v>1</v>
      </c>
      <c r="R7" s="16" t="b">
        <f t="shared" si="6"/>
        <v>1</v>
      </c>
      <c r="S7" s="17">
        <f t="shared" si="3"/>
        <v>778</v>
      </c>
      <c r="T7" s="18">
        <f t="shared" si="4"/>
        <v>14.06512654</v>
      </c>
      <c r="U7" s="8"/>
      <c r="V7" s="8"/>
      <c r="W7" s="2"/>
      <c r="X7" s="2"/>
      <c r="Y7" s="2"/>
      <c r="Z7" s="2"/>
      <c r="AA7" s="2"/>
      <c r="AB7" s="2"/>
      <c r="AC7" s="2"/>
    </row>
    <row r="8">
      <c r="A8" s="15">
        <v>1004.0</v>
      </c>
      <c r="B8" s="15">
        <v>581.0</v>
      </c>
      <c r="C8" s="15">
        <v>46.0</v>
      </c>
      <c r="D8" s="15">
        <v>335.0</v>
      </c>
      <c r="E8" s="15">
        <v>382.0</v>
      </c>
      <c r="F8" s="15">
        <v>489.4081</v>
      </c>
      <c r="G8" s="15"/>
      <c r="H8" s="5"/>
      <c r="I8" s="15">
        <v>1004.0</v>
      </c>
      <c r="J8" s="15">
        <v>581.0</v>
      </c>
      <c r="K8" s="15">
        <v>46.0</v>
      </c>
      <c r="L8" s="15">
        <v>335.0</v>
      </c>
      <c r="M8" s="15">
        <v>382.0</v>
      </c>
      <c r="N8" s="15">
        <v>40.58215</v>
      </c>
      <c r="O8" s="2"/>
      <c r="P8" s="16" t="b">
        <f t="shared" ref="P8:R8" si="7">C8=K8</f>
        <v>1</v>
      </c>
      <c r="Q8" s="16" t="b">
        <f t="shared" si="7"/>
        <v>1</v>
      </c>
      <c r="R8" s="16" t="b">
        <f t="shared" si="7"/>
        <v>1</v>
      </c>
      <c r="S8" s="17">
        <f t="shared" si="3"/>
        <v>581</v>
      </c>
      <c r="T8" s="18">
        <f t="shared" si="4"/>
        <v>12.0596888</v>
      </c>
      <c r="U8" s="8"/>
      <c r="V8" s="8"/>
      <c r="W8" s="2"/>
      <c r="X8" s="2"/>
      <c r="Y8" s="2"/>
      <c r="Z8" s="2"/>
      <c r="AA8" s="2"/>
      <c r="AB8" s="2"/>
      <c r="AC8" s="2"/>
    </row>
    <row r="9">
      <c r="A9" s="15">
        <v>1005.0</v>
      </c>
      <c r="B9" s="15">
        <v>1376.0</v>
      </c>
      <c r="C9" s="15">
        <v>53.0</v>
      </c>
      <c r="D9" s="15">
        <v>799.0</v>
      </c>
      <c r="E9" s="15">
        <v>848.0</v>
      </c>
      <c r="F9" s="15">
        <v>1181.077</v>
      </c>
      <c r="G9" s="15"/>
      <c r="H9" s="5"/>
      <c r="I9" s="15">
        <v>1005.0</v>
      </c>
      <c r="J9" s="15">
        <v>1376.0</v>
      </c>
      <c r="K9" s="15">
        <v>53.0</v>
      </c>
      <c r="L9" s="15">
        <v>799.0</v>
      </c>
      <c r="M9" s="15">
        <v>848.0</v>
      </c>
      <c r="N9" s="15">
        <v>64.56838</v>
      </c>
      <c r="O9" s="2"/>
      <c r="P9" s="16" t="b">
        <f t="shared" ref="P9:R9" si="8">C9=K9</f>
        <v>1</v>
      </c>
      <c r="Q9" s="16" t="b">
        <f t="shared" si="8"/>
        <v>1</v>
      </c>
      <c r="R9" s="16" t="b">
        <f t="shared" si="8"/>
        <v>1</v>
      </c>
      <c r="S9" s="17">
        <f t="shared" si="3"/>
        <v>1376</v>
      </c>
      <c r="T9" s="18">
        <f t="shared" si="4"/>
        <v>18.29187909</v>
      </c>
      <c r="U9" s="8"/>
      <c r="V9" s="8"/>
      <c r="W9" s="2"/>
      <c r="X9" s="2"/>
      <c r="Y9" s="2"/>
      <c r="Z9" s="2"/>
      <c r="AA9" s="2"/>
      <c r="AB9" s="2"/>
      <c r="AC9" s="2"/>
    </row>
    <row r="10">
      <c r="A10" s="15">
        <v>1006.0</v>
      </c>
      <c r="B10" s="15">
        <v>440.0</v>
      </c>
      <c r="C10" s="15">
        <v>40.0</v>
      </c>
      <c r="D10" s="15">
        <v>216.0</v>
      </c>
      <c r="E10" s="15">
        <v>259.0</v>
      </c>
      <c r="F10" s="15">
        <v>365.8537</v>
      </c>
      <c r="G10" s="15"/>
      <c r="H10" s="5"/>
      <c r="I10" s="15">
        <v>1006.0</v>
      </c>
      <c r="J10" s="15">
        <v>440.0</v>
      </c>
      <c r="K10" s="15">
        <v>40.0</v>
      </c>
      <c r="L10" s="15">
        <v>216.0</v>
      </c>
      <c r="M10" s="15">
        <v>259.0</v>
      </c>
      <c r="N10" s="15">
        <v>37.21421</v>
      </c>
      <c r="O10" s="2"/>
      <c r="P10" s="16" t="b">
        <f t="shared" ref="P10:R10" si="9">C10=K10</f>
        <v>1</v>
      </c>
      <c r="Q10" s="16" t="b">
        <f t="shared" si="9"/>
        <v>1</v>
      </c>
      <c r="R10" s="16" t="b">
        <f t="shared" si="9"/>
        <v>1</v>
      </c>
      <c r="S10" s="17">
        <f t="shared" si="3"/>
        <v>440</v>
      </c>
      <c r="T10" s="18">
        <f t="shared" si="4"/>
        <v>9.831021537</v>
      </c>
      <c r="U10" s="8"/>
      <c r="V10" s="8"/>
      <c r="W10" s="2"/>
      <c r="X10" s="2"/>
      <c r="Y10" s="2"/>
      <c r="Z10" s="2"/>
      <c r="AA10" s="2"/>
      <c r="AB10" s="2"/>
      <c r="AC10" s="2"/>
    </row>
    <row r="11">
      <c r="A11" s="15">
        <v>1007.0</v>
      </c>
      <c r="B11" s="15">
        <v>1639.0</v>
      </c>
      <c r="C11" s="15">
        <v>46.0</v>
      </c>
      <c r="D11" s="15">
        <v>901.0</v>
      </c>
      <c r="E11" s="15">
        <v>939.0</v>
      </c>
      <c r="F11" s="15">
        <v>1435.407</v>
      </c>
      <c r="G11" s="15"/>
      <c r="H11" s="5"/>
      <c r="I11" s="15">
        <v>1007.0</v>
      </c>
      <c r="J11" s="15">
        <v>1639.0</v>
      </c>
      <c r="K11" s="15">
        <v>46.0</v>
      </c>
      <c r="L11" s="15">
        <v>901.0</v>
      </c>
      <c r="M11" s="15">
        <v>939.0</v>
      </c>
      <c r="N11" s="15">
        <v>69.9047</v>
      </c>
      <c r="O11" s="2"/>
      <c r="P11" s="16" t="b">
        <f t="shared" ref="P11:R11" si="10">C11=K11</f>
        <v>1</v>
      </c>
      <c r="Q11" s="16" t="b">
        <f t="shared" si="10"/>
        <v>1</v>
      </c>
      <c r="R11" s="16" t="b">
        <f t="shared" si="10"/>
        <v>1</v>
      </c>
      <c r="S11" s="17">
        <f t="shared" si="3"/>
        <v>1639</v>
      </c>
      <c r="T11" s="18">
        <f t="shared" si="4"/>
        <v>20.53376955</v>
      </c>
      <c r="U11" s="8"/>
      <c r="V11" s="8"/>
      <c r="W11" s="2"/>
      <c r="X11" s="2"/>
      <c r="Y11" s="2"/>
      <c r="Z11" s="2"/>
      <c r="AA11" s="2"/>
      <c r="AB11" s="2"/>
      <c r="AC11" s="2"/>
    </row>
    <row r="12">
      <c r="A12" s="15">
        <v>1008.0</v>
      </c>
      <c r="B12" s="15">
        <v>1069.0</v>
      </c>
      <c r="C12" s="15">
        <v>58.0</v>
      </c>
      <c r="D12" s="15">
        <v>961.0</v>
      </c>
      <c r="E12" s="15">
        <v>1017.0</v>
      </c>
      <c r="F12" s="15">
        <v>948.9653</v>
      </c>
      <c r="G12" s="15"/>
      <c r="H12" s="5"/>
      <c r="I12" s="15">
        <v>1008.0</v>
      </c>
      <c r="J12" s="15">
        <v>1069.0</v>
      </c>
      <c r="K12" s="15">
        <v>58.0</v>
      </c>
      <c r="L12" s="15">
        <v>961.0</v>
      </c>
      <c r="M12" s="15">
        <v>1017.0</v>
      </c>
      <c r="N12" s="15">
        <v>57.22112</v>
      </c>
      <c r="O12" s="2"/>
      <c r="P12" s="16" t="b">
        <f t="shared" ref="P12:R12" si="11">C12=K12</f>
        <v>1</v>
      </c>
      <c r="Q12" s="16" t="b">
        <f t="shared" si="11"/>
        <v>1</v>
      </c>
      <c r="R12" s="16" t="b">
        <f t="shared" si="11"/>
        <v>1</v>
      </c>
      <c r="S12" s="17">
        <f t="shared" si="3"/>
        <v>1069</v>
      </c>
      <c r="T12" s="18">
        <f t="shared" si="4"/>
        <v>16.58417906</v>
      </c>
      <c r="U12" s="8"/>
      <c r="V12" s="8"/>
      <c r="W12" s="2"/>
      <c r="X12" s="2"/>
      <c r="Y12" s="2"/>
      <c r="Z12" s="2"/>
      <c r="AA12" s="2"/>
      <c r="AB12" s="2"/>
      <c r="AC12" s="2"/>
    </row>
    <row r="13">
      <c r="A13" s="15">
        <v>1009.0</v>
      </c>
      <c r="B13" s="15">
        <v>1366.0</v>
      </c>
      <c r="C13" s="15">
        <v>51.0</v>
      </c>
      <c r="D13" s="15">
        <v>1045.0</v>
      </c>
      <c r="E13" s="15">
        <v>1089.0</v>
      </c>
      <c r="F13" s="15">
        <v>1175.046</v>
      </c>
      <c r="G13" s="15"/>
      <c r="H13" s="5"/>
      <c r="I13" s="15">
        <v>1009.0</v>
      </c>
      <c r="J13" s="15">
        <v>1366.0</v>
      </c>
      <c r="K13" s="15">
        <v>51.0</v>
      </c>
      <c r="L13" s="15">
        <v>1045.0</v>
      </c>
      <c r="M13" s="15">
        <v>1089.0</v>
      </c>
      <c r="N13" s="15">
        <v>62.8135</v>
      </c>
      <c r="O13" s="2"/>
      <c r="P13" s="16" t="b">
        <f t="shared" ref="P13:R13" si="12">C13=K13</f>
        <v>1</v>
      </c>
      <c r="Q13" s="16" t="b">
        <f t="shared" si="12"/>
        <v>1</v>
      </c>
      <c r="R13" s="16" t="b">
        <f t="shared" si="12"/>
        <v>1</v>
      </c>
      <c r="S13" s="17">
        <f t="shared" si="3"/>
        <v>1366</v>
      </c>
      <c r="T13" s="18">
        <f t="shared" si="4"/>
        <v>18.70690218</v>
      </c>
      <c r="U13" s="8"/>
      <c r="V13" s="8"/>
      <c r="W13" s="2"/>
      <c r="X13" s="2"/>
      <c r="Y13" s="2"/>
      <c r="Z13" s="2"/>
      <c r="AA13" s="2"/>
      <c r="AB13" s="2"/>
      <c r="AC13" s="2"/>
    </row>
    <row r="14">
      <c r="A14" s="15">
        <v>1010.0</v>
      </c>
      <c r="B14" s="15">
        <v>459.0</v>
      </c>
      <c r="C14" s="15">
        <v>44.0</v>
      </c>
      <c r="D14" s="15">
        <v>390.0</v>
      </c>
      <c r="E14" s="15">
        <v>425.0</v>
      </c>
      <c r="F14" s="15">
        <v>387.0318</v>
      </c>
      <c r="G14" s="15"/>
      <c r="H14" s="5"/>
      <c r="I14" s="15">
        <v>1010.0</v>
      </c>
      <c r="J14" s="15">
        <v>459.0</v>
      </c>
      <c r="K14" s="15">
        <v>44.0</v>
      </c>
      <c r="L14" s="15">
        <v>390.0</v>
      </c>
      <c r="M14" s="15">
        <v>425.0</v>
      </c>
      <c r="N14" s="15">
        <v>34.99213</v>
      </c>
      <c r="O14" s="2"/>
      <c r="P14" s="16" t="b">
        <f t="shared" ref="P14:R14" si="13">C14=K14</f>
        <v>1</v>
      </c>
      <c r="Q14" s="16" t="b">
        <f t="shared" si="13"/>
        <v>1</v>
      </c>
      <c r="R14" s="16" t="b">
        <f t="shared" si="13"/>
        <v>1</v>
      </c>
      <c r="S14" s="17">
        <f t="shared" si="3"/>
        <v>459</v>
      </c>
      <c r="T14" s="18">
        <f t="shared" si="4"/>
        <v>11.06053847</v>
      </c>
      <c r="U14" s="8"/>
      <c r="V14" s="8"/>
      <c r="W14" s="2"/>
      <c r="X14" s="2"/>
      <c r="Y14" s="2"/>
      <c r="Z14" s="2"/>
      <c r="AA14" s="2"/>
      <c r="AB14" s="2"/>
      <c r="AC14" s="2"/>
    </row>
    <row r="15">
      <c r="A15" s="15">
        <v>1011.0</v>
      </c>
      <c r="B15" s="15">
        <v>1706.0</v>
      </c>
      <c r="C15" s="15">
        <v>54.0</v>
      </c>
      <c r="D15" s="15">
        <v>885.0</v>
      </c>
      <c r="E15" s="15">
        <v>931.0</v>
      </c>
      <c r="F15" s="15">
        <v>1445.775</v>
      </c>
      <c r="G15" s="15"/>
      <c r="H15" s="5"/>
      <c r="I15" s="15">
        <v>1011.0</v>
      </c>
      <c r="J15" s="15">
        <v>1706.0</v>
      </c>
      <c r="K15" s="15">
        <v>54.0</v>
      </c>
      <c r="L15" s="15">
        <v>885.0</v>
      </c>
      <c r="M15" s="15">
        <v>931.0</v>
      </c>
      <c r="N15" s="15">
        <v>73.64608</v>
      </c>
      <c r="O15" s="2"/>
      <c r="P15" s="16" t="b">
        <f t="shared" ref="P15:R15" si="14">C15=K15</f>
        <v>1</v>
      </c>
      <c r="Q15" s="16" t="b">
        <f t="shared" si="14"/>
        <v>1</v>
      </c>
      <c r="R15" s="16" t="b">
        <f t="shared" si="14"/>
        <v>1</v>
      </c>
      <c r="S15" s="17">
        <f t="shared" si="3"/>
        <v>1706</v>
      </c>
      <c r="T15" s="18">
        <f t="shared" si="4"/>
        <v>19.63139111</v>
      </c>
      <c r="U15" s="8"/>
      <c r="V15" s="8"/>
      <c r="W15" s="2"/>
      <c r="X15" s="2"/>
      <c r="Y15" s="2"/>
      <c r="Z15" s="2"/>
      <c r="AA15" s="2"/>
      <c r="AB15" s="2"/>
      <c r="AC15" s="2"/>
    </row>
    <row r="16">
      <c r="A16" s="15">
        <v>1012.0</v>
      </c>
      <c r="B16" s="15">
        <v>530.0</v>
      </c>
      <c r="C16" s="15">
        <v>46.0</v>
      </c>
      <c r="D16" s="15">
        <v>466.0</v>
      </c>
      <c r="E16" s="15">
        <v>509.0</v>
      </c>
      <c r="F16" s="15">
        <v>446.7072</v>
      </c>
      <c r="G16" s="15"/>
      <c r="H16" s="5"/>
      <c r="I16" s="15">
        <v>1012.0</v>
      </c>
      <c r="J16" s="15">
        <v>530.0</v>
      </c>
      <c r="K16" s="15">
        <v>46.0</v>
      </c>
      <c r="L16" s="15">
        <v>466.0</v>
      </c>
      <c r="M16" s="15">
        <v>509.0</v>
      </c>
      <c r="N16" s="15">
        <v>38.01584</v>
      </c>
      <c r="O16" s="2"/>
      <c r="P16" s="16" t="b">
        <f t="shared" ref="P16:R16" si="15">C16=K16</f>
        <v>1</v>
      </c>
      <c r="Q16" s="16" t="b">
        <f t="shared" si="15"/>
        <v>1</v>
      </c>
      <c r="R16" s="16" t="b">
        <f t="shared" si="15"/>
        <v>1</v>
      </c>
      <c r="S16" s="17">
        <f t="shared" si="3"/>
        <v>530</v>
      </c>
      <c r="T16" s="18">
        <f t="shared" si="4"/>
        <v>11.75055451</v>
      </c>
      <c r="U16" s="8"/>
      <c r="V16" s="8"/>
      <c r="W16" s="2"/>
      <c r="X16" s="2"/>
      <c r="Y16" s="2"/>
      <c r="Z16" s="2"/>
      <c r="AA16" s="2"/>
      <c r="AB16" s="2"/>
      <c r="AC16" s="2"/>
    </row>
    <row r="17">
      <c r="A17" s="15">
        <v>1013.0</v>
      </c>
      <c r="B17" s="15">
        <v>760.0</v>
      </c>
      <c r="C17" s="15">
        <v>50.0</v>
      </c>
      <c r="D17" s="15">
        <v>672.0</v>
      </c>
      <c r="E17" s="15">
        <v>712.0</v>
      </c>
      <c r="F17" s="15">
        <v>634.6399</v>
      </c>
      <c r="G17" s="15"/>
      <c r="H17" s="5"/>
      <c r="I17" s="15">
        <v>1013.0</v>
      </c>
      <c r="J17" s="15">
        <v>760.0</v>
      </c>
      <c r="K17" s="15">
        <v>50.0</v>
      </c>
      <c r="L17" s="15">
        <v>672.0</v>
      </c>
      <c r="M17" s="15">
        <v>712.0</v>
      </c>
      <c r="N17" s="15">
        <v>44.14055</v>
      </c>
      <c r="O17" s="2"/>
      <c r="P17" s="16" t="b">
        <f t="shared" ref="P17:R17" si="16">C17=K17</f>
        <v>1</v>
      </c>
      <c r="Q17" s="16" t="b">
        <f t="shared" si="16"/>
        <v>1</v>
      </c>
      <c r="R17" s="16" t="b">
        <f t="shared" si="16"/>
        <v>1</v>
      </c>
      <c r="S17" s="17">
        <f t="shared" si="3"/>
        <v>760</v>
      </c>
      <c r="T17" s="18">
        <f t="shared" si="4"/>
        <v>14.37770712</v>
      </c>
      <c r="U17" s="8"/>
      <c r="V17" s="8"/>
      <c r="W17" s="2"/>
      <c r="X17" s="2"/>
      <c r="Y17" s="2"/>
      <c r="Z17" s="2"/>
      <c r="AA17" s="2"/>
      <c r="AB17" s="2"/>
      <c r="AC17" s="2"/>
    </row>
    <row r="18">
      <c r="A18" s="15">
        <v>1014.0</v>
      </c>
      <c r="B18" s="15">
        <v>152.0</v>
      </c>
      <c r="C18" s="15">
        <v>39.0</v>
      </c>
      <c r="D18" s="15">
        <v>3.0</v>
      </c>
      <c r="E18" s="15">
        <v>47.0</v>
      </c>
      <c r="F18" s="15">
        <v>126.5084</v>
      </c>
      <c r="G18" s="15"/>
      <c r="H18" s="5"/>
      <c r="I18" s="15">
        <v>1014.0</v>
      </c>
      <c r="J18" s="15">
        <v>152.0</v>
      </c>
      <c r="K18" s="15">
        <v>39.0</v>
      </c>
      <c r="L18" s="15">
        <v>3.0</v>
      </c>
      <c r="M18" s="15">
        <v>47.0</v>
      </c>
      <c r="N18" s="15">
        <v>28.24397</v>
      </c>
      <c r="O18" s="2"/>
      <c r="P18" s="16" t="b">
        <f t="shared" ref="P18:R18" si="17">C18=K18</f>
        <v>1</v>
      </c>
      <c r="Q18" s="16" t="b">
        <f t="shared" si="17"/>
        <v>1</v>
      </c>
      <c r="R18" s="16" t="b">
        <f t="shared" si="17"/>
        <v>1</v>
      </c>
      <c r="S18" s="17">
        <f t="shared" si="3"/>
        <v>152</v>
      </c>
      <c r="T18" s="18">
        <f t="shared" si="4"/>
        <v>4.479129527</v>
      </c>
      <c r="U18" s="8"/>
      <c r="V18" s="8"/>
      <c r="W18" s="2"/>
      <c r="X18" s="2"/>
      <c r="Y18" s="2"/>
      <c r="Z18" s="2"/>
      <c r="AA18" s="2"/>
      <c r="AB18" s="2"/>
      <c r="AC18" s="2"/>
    </row>
    <row r="19">
      <c r="A19" s="15">
        <v>1015.0</v>
      </c>
      <c r="B19" s="15">
        <v>376.0</v>
      </c>
      <c r="C19" s="15">
        <v>40.0</v>
      </c>
      <c r="D19" s="15">
        <v>294.0</v>
      </c>
      <c r="E19" s="15">
        <v>337.0</v>
      </c>
      <c r="F19" s="15">
        <v>324.3047</v>
      </c>
      <c r="G19" s="15"/>
      <c r="H19" s="5"/>
      <c r="I19" s="15">
        <v>1015.0</v>
      </c>
      <c r="J19" s="15">
        <v>376.0</v>
      </c>
      <c r="K19" s="15">
        <v>40.0</v>
      </c>
      <c r="L19" s="15">
        <v>294.0</v>
      </c>
      <c r="M19" s="15">
        <v>337.0</v>
      </c>
      <c r="N19" s="15">
        <v>34.05824</v>
      </c>
      <c r="O19" s="2"/>
      <c r="P19" s="16" t="b">
        <f t="shared" ref="P19:R19" si="18">C19=K19</f>
        <v>1</v>
      </c>
      <c r="Q19" s="16" t="b">
        <f t="shared" si="18"/>
        <v>1</v>
      </c>
      <c r="R19" s="16" t="b">
        <f t="shared" si="18"/>
        <v>1</v>
      </c>
      <c r="S19" s="17">
        <f t="shared" si="3"/>
        <v>376</v>
      </c>
      <c r="T19" s="18">
        <f t="shared" si="4"/>
        <v>9.522062796</v>
      </c>
      <c r="U19" s="8"/>
      <c r="V19" s="8"/>
      <c r="W19" s="2"/>
      <c r="X19" s="2"/>
      <c r="Y19" s="2"/>
      <c r="Z19" s="2"/>
      <c r="AA19" s="2"/>
      <c r="AB19" s="2"/>
      <c r="AC19" s="2"/>
    </row>
    <row r="20">
      <c r="A20" s="15">
        <v>1016.0</v>
      </c>
      <c r="B20" s="15">
        <v>450.0</v>
      </c>
      <c r="C20" s="15">
        <v>45.0</v>
      </c>
      <c r="D20" s="15">
        <v>223.0</v>
      </c>
      <c r="E20" s="15">
        <v>256.0</v>
      </c>
      <c r="F20" s="15">
        <v>382.6034</v>
      </c>
      <c r="G20" s="15"/>
      <c r="H20" s="5"/>
      <c r="I20" s="15">
        <v>1016.0</v>
      </c>
      <c r="J20" s="15">
        <v>450.0</v>
      </c>
      <c r="K20" s="15">
        <v>45.0</v>
      </c>
      <c r="L20" s="15">
        <v>223.0</v>
      </c>
      <c r="M20" s="15">
        <v>256.0</v>
      </c>
      <c r="N20" s="15">
        <v>34.99213</v>
      </c>
      <c r="O20" s="2"/>
      <c r="P20" s="16" t="b">
        <f t="shared" ref="P20:R20" si="19">C20=K20</f>
        <v>1</v>
      </c>
      <c r="Q20" s="16" t="b">
        <f t="shared" si="19"/>
        <v>1</v>
      </c>
      <c r="R20" s="16" t="b">
        <f t="shared" si="19"/>
        <v>1</v>
      </c>
      <c r="S20" s="17">
        <f t="shared" si="3"/>
        <v>450</v>
      </c>
      <c r="T20" s="18">
        <f t="shared" si="4"/>
        <v>10.9339843</v>
      </c>
      <c r="U20" s="8"/>
      <c r="V20" s="8"/>
      <c r="W20" s="2"/>
      <c r="X20" s="2"/>
      <c r="Y20" s="2"/>
      <c r="Z20" s="2"/>
      <c r="AA20" s="2"/>
      <c r="AB20" s="2"/>
      <c r="AC20" s="2"/>
    </row>
    <row r="21">
      <c r="A21" s="15">
        <v>1017.0</v>
      </c>
      <c r="B21" s="15">
        <v>289.0</v>
      </c>
      <c r="C21" s="15">
        <v>42.0</v>
      </c>
      <c r="D21" s="15">
        <v>42.0</v>
      </c>
      <c r="E21" s="15">
        <v>77.0</v>
      </c>
      <c r="F21" s="15">
        <v>242.5411</v>
      </c>
      <c r="G21" s="15"/>
      <c r="H21" s="5"/>
      <c r="I21" s="15">
        <v>1017.0</v>
      </c>
      <c r="J21" s="15">
        <v>289.0</v>
      </c>
      <c r="K21" s="15">
        <v>42.0</v>
      </c>
      <c r="L21" s="15">
        <v>42.0</v>
      </c>
      <c r="M21" s="15">
        <v>77.0</v>
      </c>
      <c r="N21" s="15">
        <v>29.29664</v>
      </c>
      <c r="O21" s="2"/>
      <c r="P21" s="16" t="b">
        <f t="shared" ref="P21:R21" si="20">C21=K21</f>
        <v>1</v>
      </c>
      <c r="Q21" s="16" t="b">
        <f t="shared" si="20"/>
        <v>1</v>
      </c>
      <c r="R21" s="16" t="b">
        <f t="shared" si="20"/>
        <v>1</v>
      </c>
      <c r="S21" s="17">
        <f t="shared" si="3"/>
        <v>289</v>
      </c>
      <c r="T21" s="18">
        <f t="shared" si="4"/>
        <v>8.27880262</v>
      </c>
      <c r="U21" s="8"/>
      <c r="V21" s="8"/>
      <c r="W21" s="2"/>
      <c r="X21" s="2"/>
      <c r="Y21" s="2"/>
      <c r="Z21" s="2"/>
      <c r="AA21" s="2"/>
      <c r="AB21" s="2"/>
      <c r="AC21" s="2"/>
    </row>
    <row r="22">
      <c r="A22" s="15">
        <v>1018.0</v>
      </c>
      <c r="B22" s="15">
        <v>1063.0</v>
      </c>
      <c r="C22" s="15">
        <v>244.0</v>
      </c>
      <c r="D22" s="15">
        <v>196.0</v>
      </c>
      <c r="E22" s="15">
        <v>245.0</v>
      </c>
      <c r="F22" s="15">
        <v>890.908</v>
      </c>
      <c r="G22" s="15"/>
      <c r="H22" s="5"/>
      <c r="I22" s="15">
        <v>1018.0</v>
      </c>
      <c r="J22" s="15">
        <v>1063.0</v>
      </c>
      <c r="K22" s="15">
        <v>244.0</v>
      </c>
      <c r="L22" s="15">
        <v>196.0</v>
      </c>
      <c r="M22" s="15">
        <v>245.0</v>
      </c>
      <c r="N22" s="15">
        <v>54.7328</v>
      </c>
      <c r="O22" s="2"/>
      <c r="P22" s="16" t="b">
        <f t="shared" ref="P22:R22" si="21">C22=K22</f>
        <v>1</v>
      </c>
      <c r="Q22" s="16" t="b">
        <f t="shared" si="21"/>
        <v>1</v>
      </c>
      <c r="R22" s="16" t="b">
        <f t="shared" si="21"/>
        <v>1</v>
      </c>
      <c r="S22" s="17">
        <f t="shared" si="3"/>
        <v>1063</v>
      </c>
      <c r="T22" s="18">
        <f t="shared" si="4"/>
        <v>16.27740587</v>
      </c>
      <c r="U22" s="8"/>
      <c r="V22" s="8"/>
      <c r="W22" s="2"/>
      <c r="X22" s="2"/>
      <c r="Y22" s="2"/>
      <c r="Z22" s="2"/>
      <c r="AA22" s="2"/>
      <c r="AB22" s="2"/>
      <c r="AC22" s="2"/>
    </row>
    <row r="23">
      <c r="A23" s="15">
        <v>1019.0</v>
      </c>
      <c r="B23" s="15">
        <v>680.0</v>
      </c>
      <c r="C23" s="15">
        <v>46.0</v>
      </c>
      <c r="D23" s="15">
        <v>416.0</v>
      </c>
      <c r="E23" s="15">
        <v>455.0</v>
      </c>
      <c r="F23" s="15">
        <v>569.2838</v>
      </c>
      <c r="G23" s="15"/>
      <c r="H23" s="5"/>
      <c r="I23" s="15">
        <v>1019.0</v>
      </c>
      <c r="J23" s="15">
        <v>680.0</v>
      </c>
      <c r="K23" s="15">
        <v>46.0</v>
      </c>
      <c r="L23" s="15">
        <v>416.0</v>
      </c>
      <c r="M23" s="15">
        <v>455.0</v>
      </c>
      <c r="N23" s="15">
        <v>41.0624</v>
      </c>
      <c r="O23" s="2"/>
      <c r="P23" s="16" t="b">
        <f t="shared" ref="P23:R23" si="22">C23=K23</f>
        <v>1</v>
      </c>
      <c r="Q23" s="16" t="b">
        <f t="shared" si="22"/>
        <v>1</v>
      </c>
      <c r="R23" s="16" t="b">
        <f t="shared" si="22"/>
        <v>1</v>
      </c>
      <c r="S23" s="17">
        <f t="shared" si="3"/>
        <v>680</v>
      </c>
      <c r="T23" s="18">
        <f t="shared" si="4"/>
        <v>13.8638706</v>
      </c>
      <c r="U23" s="8"/>
      <c r="V23" s="8"/>
      <c r="W23" s="2"/>
      <c r="X23" s="2"/>
      <c r="Y23" s="2"/>
      <c r="Z23" s="2"/>
      <c r="AA23" s="2"/>
      <c r="AB23" s="2"/>
      <c r="AC23" s="2"/>
    </row>
    <row r="24">
      <c r="A24" s="15">
        <v>1020.0</v>
      </c>
      <c r="B24" s="15">
        <v>152.0</v>
      </c>
      <c r="C24" s="15">
        <v>38.0</v>
      </c>
      <c r="D24" s="15">
        <v>17.0</v>
      </c>
      <c r="E24" s="15">
        <v>52.0</v>
      </c>
      <c r="F24" s="15">
        <v>126.5732</v>
      </c>
      <c r="G24" s="15"/>
      <c r="H24" s="5"/>
      <c r="I24" s="15">
        <v>1020.0</v>
      </c>
      <c r="J24" s="15">
        <v>152.0</v>
      </c>
      <c r="K24" s="15">
        <v>38.0</v>
      </c>
      <c r="L24" s="15">
        <v>17.0</v>
      </c>
      <c r="M24" s="15">
        <v>52.0</v>
      </c>
      <c r="N24" s="15">
        <v>26.52762</v>
      </c>
      <c r="O24" s="2"/>
      <c r="P24" s="16" t="b">
        <f t="shared" ref="P24:R24" si="23">C24=K24</f>
        <v>1</v>
      </c>
      <c r="Q24" s="16" t="b">
        <f t="shared" si="23"/>
        <v>1</v>
      </c>
      <c r="R24" s="16" t="b">
        <f t="shared" si="23"/>
        <v>1</v>
      </c>
      <c r="S24" s="17">
        <f t="shared" si="3"/>
        <v>152</v>
      </c>
      <c r="T24" s="18">
        <f t="shared" si="4"/>
        <v>4.771374138</v>
      </c>
      <c r="U24" s="8"/>
      <c r="V24" s="8"/>
      <c r="W24" s="2"/>
      <c r="X24" s="2"/>
      <c r="Y24" s="2"/>
      <c r="Z24" s="2"/>
      <c r="AA24" s="2"/>
      <c r="AB24" s="2"/>
      <c r="AC24" s="2"/>
    </row>
    <row r="25">
      <c r="A25" s="15">
        <v>1021.0</v>
      </c>
      <c r="B25" s="15">
        <v>384.0</v>
      </c>
      <c r="C25" s="15">
        <v>57.0</v>
      </c>
      <c r="D25" s="15">
        <v>262.0</v>
      </c>
      <c r="E25" s="15">
        <v>310.0</v>
      </c>
      <c r="F25" s="15">
        <v>316.1152</v>
      </c>
      <c r="G25" s="15"/>
      <c r="H25" s="5"/>
      <c r="I25" s="15">
        <v>1021.0</v>
      </c>
      <c r="J25" s="15">
        <v>384.0</v>
      </c>
      <c r="K25" s="15">
        <v>57.0</v>
      </c>
      <c r="L25" s="15">
        <v>262.0</v>
      </c>
      <c r="M25" s="15">
        <v>310.0</v>
      </c>
      <c r="N25" s="15">
        <v>34.90202</v>
      </c>
      <c r="O25" s="2"/>
      <c r="P25" s="16" t="b">
        <f t="shared" ref="P25:R25" si="24">C25=K25</f>
        <v>1</v>
      </c>
      <c r="Q25" s="16" t="b">
        <f t="shared" si="24"/>
        <v>1</v>
      </c>
      <c r="R25" s="16" t="b">
        <f t="shared" si="24"/>
        <v>1</v>
      </c>
      <c r="S25" s="17">
        <f t="shared" si="3"/>
        <v>384</v>
      </c>
      <c r="T25" s="18">
        <f t="shared" si="4"/>
        <v>9.057217892</v>
      </c>
      <c r="U25" s="8"/>
      <c r="V25" s="8"/>
      <c r="W25" s="2"/>
      <c r="X25" s="2"/>
      <c r="Y25" s="2"/>
      <c r="Z25" s="2"/>
      <c r="AA25" s="2"/>
      <c r="AB25" s="2"/>
      <c r="AC25" s="2"/>
    </row>
    <row r="26">
      <c r="A26" s="15">
        <v>1022.0</v>
      </c>
      <c r="B26" s="15">
        <v>258.0</v>
      </c>
      <c r="C26" s="15">
        <v>37.0</v>
      </c>
      <c r="D26" s="15">
        <v>15.0</v>
      </c>
      <c r="E26" s="15">
        <v>56.0</v>
      </c>
      <c r="F26" s="15">
        <v>213.1163</v>
      </c>
      <c r="G26" s="15"/>
      <c r="H26" s="5"/>
      <c r="I26" s="15">
        <v>1022.0</v>
      </c>
      <c r="J26" s="15">
        <v>258.0</v>
      </c>
      <c r="K26" s="15">
        <v>37.0</v>
      </c>
      <c r="L26" s="15">
        <v>15.0</v>
      </c>
      <c r="M26" s="15">
        <v>56.0</v>
      </c>
      <c r="N26" s="15">
        <v>31.31395</v>
      </c>
      <c r="O26" s="2"/>
      <c r="P26" s="16" t="b">
        <f t="shared" ref="P26:R26" si="25">C26=K26</f>
        <v>1</v>
      </c>
      <c r="Q26" s="16" t="b">
        <f t="shared" si="25"/>
        <v>1</v>
      </c>
      <c r="R26" s="16" t="b">
        <f t="shared" si="25"/>
        <v>1</v>
      </c>
      <c r="S26" s="17">
        <f t="shared" si="3"/>
        <v>258</v>
      </c>
      <c r="T26" s="18">
        <f t="shared" si="4"/>
        <v>6.805794223</v>
      </c>
      <c r="U26" s="8"/>
      <c r="V26" s="8"/>
      <c r="W26" s="2"/>
      <c r="X26" s="2"/>
      <c r="Y26" s="2"/>
      <c r="Z26" s="2"/>
      <c r="AA26" s="2"/>
      <c r="AB26" s="2"/>
      <c r="AC26" s="2"/>
    </row>
    <row r="27">
      <c r="A27" s="15">
        <v>1023.0</v>
      </c>
      <c r="B27" s="15">
        <v>550.0</v>
      </c>
      <c r="C27" s="15">
        <v>46.0</v>
      </c>
      <c r="D27" s="15">
        <v>73.0</v>
      </c>
      <c r="E27" s="15">
        <v>133.0</v>
      </c>
      <c r="F27" s="15">
        <v>475.8772</v>
      </c>
      <c r="G27" s="15"/>
      <c r="H27" s="5"/>
      <c r="I27" s="15">
        <v>1023.0</v>
      </c>
      <c r="J27" s="15">
        <v>550.0</v>
      </c>
      <c r="K27" s="15">
        <v>46.0</v>
      </c>
      <c r="L27" s="15">
        <v>73.0</v>
      </c>
      <c r="M27" s="15">
        <v>133.0</v>
      </c>
      <c r="N27" s="15">
        <v>41.58566</v>
      </c>
      <c r="O27" s="2"/>
      <c r="P27" s="16" t="b">
        <f t="shared" ref="P27:R27" si="26">C27=K27</f>
        <v>1</v>
      </c>
      <c r="Q27" s="16" t="b">
        <f t="shared" si="26"/>
        <v>1</v>
      </c>
      <c r="R27" s="16" t="b">
        <f t="shared" si="26"/>
        <v>1</v>
      </c>
      <c r="S27" s="17">
        <f t="shared" si="3"/>
        <v>550</v>
      </c>
      <c r="T27" s="18">
        <f t="shared" si="4"/>
        <v>11.44330041</v>
      </c>
      <c r="U27" s="8"/>
      <c r="V27" s="8"/>
      <c r="W27" s="2"/>
      <c r="X27" s="2"/>
      <c r="Y27" s="2"/>
      <c r="Z27" s="2"/>
      <c r="AA27" s="2"/>
      <c r="AB27" s="2"/>
      <c r="AC27" s="2"/>
    </row>
    <row r="28">
      <c r="A28" s="15">
        <v>1024.0</v>
      </c>
      <c r="B28" s="15">
        <v>587.0</v>
      </c>
      <c r="C28" s="15">
        <v>35.0</v>
      </c>
      <c r="D28" s="15">
        <v>41.0</v>
      </c>
      <c r="E28" s="15">
        <v>87.0</v>
      </c>
      <c r="F28" s="15">
        <v>488.8525</v>
      </c>
      <c r="G28" s="15"/>
      <c r="H28" s="5"/>
      <c r="I28" s="15">
        <v>1024.0</v>
      </c>
      <c r="J28" s="15">
        <v>587.0</v>
      </c>
      <c r="K28" s="15">
        <v>35.0</v>
      </c>
      <c r="L28" s="15">
        <v>41.0</v>
      </c>
      <c r="M28" s="15">
        <v>87.0</v>
      </c>
      <c r="N28" s="15">
        <v>45.00992</v>
      </c>
      <c r="O28" s="2"/>
      <c r="P28" s="16" t="b">
        <f t="shared" ref="P28:R28" si="27">C28=K28</f>
        <v>1</v>
      </c>
      <c r="Q28" s="16" t="b">
        <f t="shared" si="27"/>
        <v>1</v>
      </c>
      <c r="R28" s="16" t="b">
        <f t="shared" si="27"/>
        <v>1</v>
      </c>
      <c r="S28" s="17">
        <f t="shared" si="3"/>
        <v>587</v>
      </c>
      <c r="T28" s="18">
        <f t="shared" si="4"/>
        <v>10.86099464</v>
      </c>
      <c r="U28" s="8"/>
      <c r="V28" s="8"/>
      <c r="W28" s="2"/>
      <c r="X28" s="2"/>
      <c r="Y28" s="2"/>
      <c r="Z28" s="2"/>
      <c r="AA28" s="2"/>
      <c r="AB28" s="2"/>
      <c r="AC28" s="2"/>
    </row>
    <row r="29">
      <c r="A29" s="15">
        <v>1025.0</v>
      </c>
      <c r="B29" s="15">
        <v>331.0</v>
      </c>
      <c r="C29" s="15">
        <v>40.0</v>
      </c>
      <c r="D29" s="15">
        <v>54.0</v>
      </c>
      <c r="E29" s="15">
        <v>96.0</v>
      </c>
      <c r="F29" s="15">
        <v>274.2611</v>
      </c>
      <c r="G29" s="15"/>
      <c r="H29" s="5"/>
      <c r="I29" s="15">
        <v>1025.0</v>
      </c>
      <c r="J29" s="15">
        <v>331.0</v>
      </c>
      <c r="K29" s="15">
        <v>40.0</v>
      </c>
      <c r="L29" s="15">
        <v>54.0</v>
      </c>
      <c r="M29" s="15">
        <v>96.0</v>
      </c>
      <c r="N29" s="15">
        <v>34.38522</v>
      </c>
      <c r="O29" s="2"/>
      <c r="P29" s="16" t="b">
        <f t="shared" ref="P29:R29" si="28">C29=K29</f>
        <v>1</v>
      </c>
      <c r="Q29" s="16" t="b">
        <f t="shared" si="28"/>
        <v>1</v>
      </c>
      <c r="R29" s="16" t="b">
        <f t="shared" si="28"/>
        <v>1</v>
      </c>
      <c r="S29" s="17">
        <f t="shared" si="3"/>
        <v>331</v>
      </c>
      <c r="T29" s="18">
        <f t="shared" si="4"/>
        <v>7.97613335</v>
      </c>
      <c r="U29" s="8"/>
      <c r="V29" s="8"/>
      <c r="W29" s="2"/>
      <c r="X29" s="2"/>
      <c r="Y29" s="2"/>
      <c r="Z29" s="2"/>
      <c r="AA29" s="2"/>
      <c r="AB29" s="2"/>
      <c r="AC29" s="2"/>
    </row>
    <row r="30">
      <c r="A30" s="15">
        <v>1026.0</v>
      </c>
      <c r="B30" s="15">
        <v>139.0</v>
      </c>
      <c r="C30" s="15">
        <v>40.0</v>
      </c>
      <c r="D30" s="15">
        <v>82.0</v>
      </c>
      <c r="E30" s="15">
        <v>135.0</v>
      </c>
      <c r="F30" s="15">
        <v>115.7137</v>
      </c>
      <c r="G30" s="15"/>
      <c r="H30" s="5"/>
      <c r="I30" s="15">
        <v>1026.0</v>
      </c>
      <c r="J30" s="15">
        <v>139.0</v>
      </c>
      <c r="K30" s="15">
        <v>40.0</v>
      </c>
      <c r="L30" s="15">
        <v>82.0</v>
      </c>
      <c r="M30" s="15">
        <v>135.0</v>
      </c>
      <c r="N30" s="15">
        <v>29.85795</v>
      </c>
      <c r="O30" s="2"/>
      <c r="P30" s="16" t="b">
        <f t="shared" ref="P30:R30" si="29">C30=K30</f>
        <v>1</v>
      </c>
      <c r="Q30" s="16" t="b">
        <f t="shared" si="29"/>
        <v>1</v>
      </c>
      <c r="R30" s="16" t="b">
        <f t="shared" si="29"/>
        <v>1</v>
      </c>
      <c r="S30" s="17">
        <f t="shared" si="3"/>
        <v>139</v>
      </c>
      <c r="T30" s="18">
        <f t="shared" si="4"/>
        <v>3.875473701</v>
      </c>
      <c r="U30" s="8"/>
      <c r="V30" s="8"/>
      <c r="W30" s="2"/>
      <c r="X30" s="2"/>
      <c r="Y30" s="2"/>
      <c r="Z30" s="2"/>
      <c r="AA30" s="2"/>
      <c r="AB30" s="2"/>
      <c r="AC30" s="2"/>
    </row>
    <row r="31">
      <c r="A31" s="15">
        <v>1027.0</v>
      </c>
      <c r="B31" s="15">
        <v>494.0</v>
      </c>
      <c r="C31" s="15">
        <v>49.0</v>
      </c>
      <c r="D31" s="15">
        <v>405.0</v>
      </c>
      <c r="E31" s="15">
        <v>459.0</v>
      </c>
      <c r="F31" s="15">
        <v>412.695</v>
      </c>
      <c r="G31" s="15"/>
      <c r="H31" s="5"/>
      <c r="I31" s="15">
        <v>1027.0</v>
      </c>
      <c r="J31" s="15">
        <v>494.0</v>
      </c>
      <c r="K31" s="15">
        <v>49.0</v>
      </c>
      <c r="L31" s="15">
        <v>405.0</v>
      </c>
      <c r="M31" s="15">
        <v>459.0</v>
      </c>
      <c r="N31" s="15">
        <v>39.68512</v>
      </c>
      <c r="O31" s="2"/>
      <c r="P31" s="16" t="b">
        <f t="shared" ref="P31:R31" si="30">C31=K31</f>
        <v>1</v>
      </c>
      <c r="Q31" s="16" t="b">
        <f t="shared" si="30"/>
        <v>1</v>
      </c>
      <c r="R31" s="16" t="b">
        <f t="shared" si="30"/>
        <v>1</v>
      </c>
      <c r="S31" s="17">
        <f t="shared" si="3"/>
        <v>494</v>
      </c>
      <c r="T31" s="18">
        <f t="shared" si="4"/>
        <v>10.3992378</v>
      </c>
      <c r="U31" s="8"/>
      <c r="V31" s="8"/>
      <c r="W31" s="2"/>
      <c r="X31" s="2"/>
      <c r="Y31" s="2"/>
      <c r="Z31" s="2"/>
      <c r="AA31" s="2"/>
      <c r="AB31" s="2"/>
      <c r="AC31" s="2"/>
    </row>
    <row r="32">
      <c r="A32" s="15">
        <v>1028.0</v>
      </c>
      <c r="B32" s="15">
        <v>1586.0</v>
      </c>
      <c r="C32" s="15">
        <v>60.0</v>
      </c>
      <c r="D32" s="15">
        <v>936.0</v>
      </c>
      <c r="E32" s="15">
        <v>986.0</v>
      </c>
      <c r="F32" s="15">
        <v>1338.194</v>
      </c>
      <c r="G32" s="15"/>
      <c r="H32" s="5"/>
      <c r="I32" s="15">
        <v>1028.0</v>
      </c>
      <c r="J32" s="15">
        <v>1586.0</v>
      </c>
      <c r="K32" s="15">
        <v>60.0</v>
      </c>
      <c r="L32" s="15">
        <v>936.0</v>
      </c>
      <c r="M32" s="15">
        <v>986.0</v>
      </c>
      <c r="N32" s="15">
        <v>70.28106</v>
      </c>
      <c r="O32" s="2"/>
      <c r="P32" s="16" t="b">
        <f t="shared" ref="P32:R32" si="31">C32=K32</f>
        <v>1</v>
      </c>
      <c r="Q32" s="16" t="b">
        <f t="shared" si="31"/>
        <v>1</v>
      </c>
      <c r="R32" s="16" t="b">
        <f t="shared" si="31"/>
        <v>1</v>
      </c>
      <c r="S32" s="17">
        <f t="shared" si="3"/>
        <v>1586</v>
      </c>
      <c r="T32" s="18">
        <f t="shared" si="4"/>
        <v>19.04060639</v>
      </c>
      <c r="U32" s="8"/>
      <c r="V32" s="8"/>
      <c r="W32" s="2"/>
      <c r="X32" s="2"/>
      <c r="Y32" s="2"/>
      <c r="Z32" s="2"/>
      <c r="AA32" s="2"/>
      <c r="AB32" s="2"/>
      <c r="AC32" s="2"/>
    </row>
    <row r="33">
      <c r="A33" s="15">
        <v>1029.0</v>
      </c>
      <c r="B33" s="15">
        <v>1220.0</v>
      </c>
      <c r="C33" s="15">
        <v>47.0</v>
      </c>
      <c r="D33" s="15">
        <v>889.0</v>
      </c>
      <c r="E33" s="15">
        <v>937.0</v>
      </c>
      <c r="F33" s="15">
        <v>1005.564</v>
      </c>
      <c r="G33" s="15"/>
      <c r="H33" s="5"/>
      <c r="I33" s="15">
        <v>1029.0</v>
      </c>
      <c r="J33" s="15">
        <v>1220.0</v>
      </c>
      <c r="K33" s="15">
        <v>47.0</v>
      </c>
      <c r="L33" s="15">
        <v>889.0</v>
      </c>
      <c r="M33" s="15">
        <v>937.0</v>
      </c>
      <c r="N33" s="15">
        <v>60.30951</v>
      </c>
      <c r="O33" s="2"/>
      <c r="P33" s="16" t="b">
        <f t="shared" ref="P33:R33" si="32">C33=K33</f>
        <v>1</v>
      </c>
      <c r="Q33" s="16" t="b">
        <f t="shared" si="32"/>
        <v>1</v>
      </c>
      <c r="R33" s="16" t="b">
        <f t="shared" si="32"/>
        <v>1</v>
      </c>
      <c r="S33" s="17">
        <f t="shared" si="3"/>
        <v>1220</v>
      </c>
      <c r="T33" s="18">
        <f t="shared" si="4"/>
        <v>16.67339032</v>
      </c>
      <c r="U33" s="8"/>
      <c r="V33" s="8"/>
      <c r="W33" s="2"/>
      <c r="X33" s="2"/>
      <c r="Y33" s="2"/>
      <c r="Z33" s="2"/>
      <c r="AA33" s="2"/>
      <c r="AB33" s="2"/>
      <c r="AC33" s="2"/>
    </row>
    <row r="34">
      <c r="A34" s="15">
        <v>1030.0</v>
      </c>
      <c r="B34" s="15">
        <v>1259.0</v>
      </c>
      <c r="C34" s="15">
        <v>56.0</v>
      </c>
      <c r="D34" s="15">
        <v>615.0</v>
      </c>
      <c r="E34" s="15">
        <v>669.0</v>
      </c>
      <c r="F34" s="15">
        <v>1038.049</v>
      </c>
      <c r="G34" s="15"/>
      <c r="H34" s="5"/>
      <c r="I34" s="15">
        <v>1030.0</v>
      </c>
      <c r="J34" s="15">
        <v>1259.0</v>
      </c>
      <c r="K34" s="15">
        <v>56.0</v>
      </c>
      <c r="L34" s="15">
        <v>615.0</v>
      </c>
      <c r="M34" s="15">
        <v>669.0</v>
      </c>
      <c r="N34" s="15">
        <v>60.98534</v>
      </c>
      <c r="O34" s="2"/>
      <c r="P34" s="16" t="b">
        <f t="shared" ref="P34:R34" si="33">C34=K34</f>
        <v>1</v>
      </c>
      <c r="Q34" s="16" t="b">
        <f t="shared" si="33"/>
        <v>1</v>
      </c>
      <c r="R34" s="16" t="b">
        <f t="shared" si="33"/>
        <v>1</v>
      </c>
      <c r="S34" s="17">
        <f t="shared" si="3"/>
        <v>1259</v>
      </c>
      <c r="T34" s="18">
        <f t="shared" si="4"/>
        <v>17.02128741</v>
      </c>
      <c r="U34" s="8"/>
      <c r="V34" s="8"/>
      <c r="W34" s="2"/>
      <c r="X34" s="2"/>
      <c r="Y34" s="2"/>
      <c r="Z34" s="2"/>
      <c r="AA34" s="2"/>
      <c r="AB34" s="2"/>
      <c r="AC34" s="2"/>
    </row>
    <row r="35">
      <c r="A35" s="15">
        <v>1031.0</v>
      </c>
      <c r="B35" s="15">
        <v>741.0</v>
      </c>
      <c r="C35" s="15">
        <v>56.0</v>
      </c>
      <c r="D35" s="15">
        <v>424.0</v>
      </c>
      <c r="E35" s="15">
        <v>460.0</v>
      </c>
      <c r="F35" s="15">
        <v>622.5186</v>
      </c>
      <c r="G35" s="15"/>
      <c r="H35" s="5"/>
      <c r="I35" s="15">
        <v>1031.0</v>
      </c>
      <c r="J35" s="15">
        <v>741.0</v>
      </c>
      <c r="K35" s="15">
        <v>56.0</v>
      </c>
      <c r="L35" s="15">
        <v>424.0</v>
      </c>
      <c r="M35" s="15">
        <v>460.0</v>
      </c>
      <c r="N35" s="15">
        <v>43.59578</v>
      </c>
      <c r="O35" s="2"/>
      <c r="P35" s="16" t="b">
        <f t="shared" ref="P35:R35" si="34">C35=K35</f>
        <v>1</v>
      </c>
      <c r="Q35" s="16" t="b">
        <f t="shared" si="34"/>
        <v>1</v>
      </c>
      <c r="R35" s="16" t="b">
        <f t="shared" si="34"/>
        <v>1</v>
      </c>
      <c r="S35" s="17">
        <f t="shared" si="3"/>
        <v>741</v>
      </c>
      <c r="T35" s="18">
        <f t="shared" si="4"/>
        <v>14.27933162</v>
      </c>
      <c r="U35" s="8"/>
      <c r="V35" s="8"/>
      <c r="W35" s="2"/>
      <c r="X35" s="2"/>
      <c r="Y35" s="2"/>
      <c r="Z35" s="2"/>
      <c r="AA35" s="2"/>
      <c r="AB35" s="2"/>
      <c r="AC35" s="2"/>
    </row>
    <row r="36">
      <c r="A36" s="15">
        <v>1032.0</v>
      </c>
      <c r="B36" s="15">
        <v>1300.0</v>
      </c>
      <c r="C36" s="15">
        <v>59.0</v>
      </c>
      <c r="D36" s="15">
        <v>210.0</v>
      </c>
      <c r="E36" s="15">
        <v>238.0</v>
      </c>
      <c r="F36" s="15">
        <v>1104.632</v>
      </c>
      <c r="G36" s="15"/>
      <c r="H36" s="5"/>
      <c r="I36" s="15">
        <v>1032.0</v>
      </c>
      <c r="J36" s="15">
        <v>1300.0</v>
      </c>
      <c r="K36" s="15">
        <v>59.0</v>
      </c>
      <c r="L36" s="15">
        <v>210.0</v>
      </c>
      <c r="M36" s="15">
        <v>238.0</v>
      </c>
      <c r="N36" s="15">
        <v>55.06253</v>
      </c>
      <c r="O36" s="2"/>
      <c r="P36" s="16" t="b">
        <f t="shared" ref="P36:R36" si="35">C36=K36</f>
        <v>1</v>
      </c>
      <c r="Q36" s="16" t="b">
        <f t="shared" si="35"/>
        <v>1</v>
      </c>
      <c r="R36" s="16" t="b">
        <f t="shared" si="35"/>
        <v>1</v>
      </c>
      <c r="S36" s="17">
        <f t="shared" si="3"/>
        <v>1300</v>
      </c>
      <c r="T36" s="18">
        <f t="shared" si="4"/>
        <v>20.06141018</v>
      </c>
      <c r="U36" s="8"/>
      <c r="V36" s="8"/>
      <c r="W36" s="2"/>
      <c r="X36" s="2"/>
      <c r="Y36" s="2"/>
      <c r="Z36" s="2"/>
      <c r="AA36" s="2"/>
      <c r="AB36" s="2"/>
      <c r="AC36" s="2"/>
    </row>
    <row r="37">
      <c r="A37" s="15">
        <v>1033.0</v>
      </c>
      <c r="B37" s="15">
        <v>1064.0</v>
      </c>
      <c r="C37" s="15">
        <v>50.0</v>
      </c>
      <c r="D37" s="15">
        <v>252.0</v>
      </c>
      <c r="E37" s="15">
        <v>295.0</v>
      </c>
      <c r="F37" s="15">
        <v>890.6153</v>
      </c>
      <c r="G37" s="15"/>
      <c r="H37" s="5"/>
      <c r="I37" s="15">
        <v>1033.0</v>
      </c>
      <c r="J37" s="15">
        <v>1064.0</v>
      </c>
      <c r="K37" s="15">
        <v>50.0</v>
      </c>
      <c r="L37" s="15">
        <v>252.0</v>
      </c>
      <c r="M37" s="15">
        <v>295.0</v>
      </c>
      <c r="N37" s="15">
        <v>53.94979</v>
      </c>
      <c r="O37" s="2"/>
      <c r="P37" s="16" t="b">
        <f t="shared" ref="P37:R37" si="36">C37=K37</f>
        <v>1</v>
      </c>
      <c r="Q37" s="16" t="b">
        <f t="shared" si="36"/>
        <v>1</v>
      </c>
      <c r="R37" s="16" t="b">
        <f t="shared" si="36"/>
        <v>1</v>
      </c>
      <c r="S37" s="17">
        <f t="shared" si="3"/>
        <v>1064</v>
      </c>
      <c r="T37" s="18">
        <f t="shared" si="4"/>
        <v>16.50822552</v>
      </c>
      <c r="U37" s="8"/>
      <c r="V37" s="8"/>
      <c r="W37" s="2"/>
      <c r="X37" s="2"/>
      <c r="Y37" s="2"/>
      <c r="Z37" s="2"/>
      <c r="AA37" s="2"/>
      <c r="AB37" s="2"/>
      <c r="AC37" s="2"/>
    </row>
    <row r="38">
      <c r="A38" s="15">
        <v>1034.0</v>
      </c>
      <c r="B38" s="15">
        <v>735.0</v>
      </c>
      <c r="C38" s="15">
        <v>45.0</v>
      </c>
      <c r="D38" s="15">
        <v>478.0</v>
      </c>
      <c r="E38" s="15">
        <v>525.0</v>
      </c>
      <c r="F38" s="15">
        <v>623.0796</v>
      </c>
      <c r="G38" s="15"/>
      <c r="H38" s="5"/>
      <c r="I38" s="15">
        <v>1034.0</v>
      </c>
      <c r="J38" s="15">
        <v>735.0</v>
      </c>
      <c r="K38" s="15">
        <v>45.0</v>
      </c>
      <c r="L38" s="15">
        <v>478.0</v>
      </c>
      <c r="M38" s="15">
        <v>525.0</v>
      </c>
      <c r="N38" s="15">
        <v>44.57968</v>
      </c>
      <c r="O38" s="2"/>
      <c r="P38" s="16" t="b">
        <f t="shared" ref="P38:R38" si="37">C38=K38</f>
        <v>1</v>
      </c>
      <c r="Q38" s="16" t="b">
        <f t="shared" si="37"/>
        <v>1</v>
      </c>
      <c r="R38" s="16" t="b">
        <f t="shared" si="37"/>
        <v>1</v>
      </c>
      <c r="S38" s="17">
        <f t="shared" si="3"/>
        <v>735</v>
      </c>
      <c r="T38" s="18">
        <f t="shared" si="4"/>
        <v>13.97676251</v>
      </c>
      <c r="U38" s="8"/>
      <c r="V38" s="8"/>
      <c r="W38" s="2"/>
      <c r="X38" s="2"/>
      <c r="Y38" s="2"/>
      <c r="Z38" s="2"/>
      <c r="AA38" s="2"/>
      <c r="AB38" s="2"/>
      <c r="AC38" s="2"/>
    </row>
    <row r="39">
      <c r="A39" s="15">
        <v>1035.0</v>
      </c>
      <c r="B39" s="15">
        <v>335.0</v>
      </c>
      <c r="C39" s="15">
        <v>50.0</v>
      </c>
      <c r="D39" s="15">
        <v>69.0</v>
      </c>
      <c r="E39" s="15">
        <v>117.0</v>
      </c>
      <c r="F39" s="15">
        <v>283.7458</v>
      </c>
      <c r="G39" s="15"/>
      <c r="H39" s="5"/>
      <c r="I39" s="15">
        <v>1035.0</v>
      </c>
      <c r="J39" s="15">
        <v>335.0</v>
      </c>
      <c r="K39" s="15">
        <v>50.0</v>
      </c>
      <c r="L39" s="15">
        <v>69.0</v>
      </c>
      <c r="M39" s="15">
        <v>117.0</v>
      </c>
      <c r="N39" s="15">
        <v>33.93126</v>
      </c>
      <c r="O39" s="2"/>
      <c r="P39" s="16" t="b">
        <f t="shared" ref="P39:R39" si="38">C39=K39</f>
        <v>1</v>
      </c>
      <c r="Q39" s="16" t="b">
        <f t="shared" si="38"/>
        <v>1</v>
      </c>
      <c r="R39" s="16" t="b">
        <f t="shared" si="38"/>
        <v>1</v>
      </c>
      <c r="S39" s="17">
        <f t="shared" si="3"/>
        <v>335</v>
      </c>
      <c r="T39" s="18">
        <f t="shared" si="4"/>
        <v>8.362371453</v>
      </c>
      <c r="U39" s="8"/>
      <c r="V39" s="8"/>
      <c r="W39" s="2"/>
      <c r="X39" s="2"/>
      <c r="Y39" s="2"/>
      <c r="Z39" s="2"/>
      <c r="AA39" s="2"/>
      <c r="AB39" s="2"/>
      <c r="AC39" s="2"/>
    </row>
    <row r="40">
      <c r="A40" s="15">
        <v>1036.0</v>
      </c>
      <c r="B40" s="15">
        <v>1040.0</v>
      </c>
      <c r="C40" s="15">
        <v>43.0</v>
      </c>
      <c r="D40" s="15">
        <v>939.0</v>
      </c>
      <c r="E40" s="15">
        <v>977.0</v>
      </c>
      <c r="F40" s="15">
        <v>885.4324</v>
      </c>
      <c r="G40" s="15"/>
      <c r="H40" s="5"/>
      <c r="I40" s="15">
        <v>1036.0</v>
      </c>
      <c r="J40" s="15">
        <v>1040.0</v>
      </c>
      <c r="K40" s="15">
        <v>43.0</v>
      </c>
      <c r="L40" s="15">
        <v>939.0</v>
      </c>
      <c r="M40" s="15">
        <v>977.0</v>
      </c>
      <c r="N40" s="15">
        <v>51.87658</v>
      </c>
      <c r="O40" s="2"/>
      <c r="P40" s="16" t="b">
        <f t="shared" ref="P40:R40" si="39">C40=K40</f>
        <v>1</v>
      </c>
      <c r="Q40" s="16" t="b">
        <f t="shared" si="39"/>
        <v>1</v>
      </c>
      <c r="R40" s="16" t="b">
        <f t="shared" si="39"/>
        <v>1</v>
      </c>
      <c r="S40" s="17">
        <f t="shared" si="3"/>
        <v>1040</v>
      </c>
      <c r="T40" s="18">
        <f t="shared" si="4"/>
        <v>17.06805653</v>
      </c>
      <c r="U40" s="8"/>
      <c r="V40" s="8"/>
      <c r="W40" s="2"/>
      <c r="X40" s="2"/>
      <c r="Y40" s="2"/>
      <c r="Z40" s="2"/>
      <c r="AA40" s="2"/>
      <c r="AB40" s="2"/>
      <c r="AC40" s="2"/>
    </row>
    <row r="41">
      <c r="A41" s="15">
        <v>1037.0</v>
      </c>
      <c r="B41" s="15">
        <v>1423.0</v>
      </c>
      <c r="C41" s="15">
        <v>52.0</v>
      </c>
      <c r="D41" s="15">
        <v>354.0</v>
      </c>
      <c r="E41" s="15">
        <v>400.0</v>
      </c>
      <c r="F41" s="15">
        <v>1240.312</v>
      </c>
      <c r="G41" s="15"/>
      <c r="H41" s="5"/>
      <c r="I41" s="15">
        <v>1037.0</v>
      </c>
      <c r="J41" s="15">
        <v>1423.0</v>
      </c>
      <c r="K41" s="15">
        <v>52.0</v>
      </c>
      <c r="L41" s="15">
        <v>354.0</v>
      </c>
      <c r="M41" s="15">
        <v>400.0</v>
      </c>
      <c r="N41" s="15">
        <v>65.09773</v>
      </c>
      <c r="O41" s="2"/>
      <c r="P41" s="16" t="b">
        <f t="shared" ref="P41:R41" si="40">C41=K41</f>
        <v>1</v>
      </c>
      <c r="Q41" s="16" t="b">
        <f t="shared" si="40"/>
        <v>1</v>
      </c>
      <c r="R41" s="16" t="b">
        <f t="shared" si="40"/>
        <v>1</v>
      </c>
      <c r="S41" s="17">
        <f t="shared" si="3"/>
        <v>1423</v>
      </c>
      <c r="T41" s="18">
        <f t="shared" si="4"/>
        <v>19.05307604</v>
      </c>
      <c r="U41" s="8"/>
      <c r="V41" s="8"/>
      <c r="W41" s="2"/>
      <c r="X41" s="2"/>
      <c r="Y41" s="2"/>
      <c r="Z41" s="2"/>
      <c r="AA41" s="2"/>
      <c r="AB41" s="2"/>
      <c r="AC41" s="2"/>
    </row>
    <row r="42">
      <c r="A42" s="15">
        <v>1038.0</v>
      </c>
      <c r="B42" s="15">
        <v>197.0</v>
      </c>
      <c r="C42" s="15">
        <v>37.0</v>
      </c>
      <c r="D42" s="15">
        <v>53.0</v>
      </c>
      <c r="E42" s="15">
        <v>99.0</v>
      </c>
      <c r="F42" s="15">
        <v>171.5363</v>
      </c>
      <c r="G42" s="15"/>
      <c r="H42" s="5"/>
      <c r="I42" s="15">
        <v>1038.0</v>
      </c>
      <c r="J42" s="15">
        <v>197.0</v>
      </c>
      <c r="K42" s="15">
        <v>37.0</v>
      </c>
      <c r="L42" s="15">
        <v>53.0</v>
      </c>
      <c r="M42" s="15">
        <v>99.0</v>
      </c>
      <c r="N42" s="15">
        <v>30.05424</v>
      </c>
      <c r="O42" s="2"/>
      <c r="P42" s="16" t="b">
        <f t="shared" ref="P42:R42" si="41">C42=K42</f>
        <v>1</v>
      </c>
      <c r="Q42" s="16" t="b">
        <f t="shared" si="41"/>
        <v>1</v>
      </c>
      <c r="R42" s="16" t="b">
        <f t="shared" si="41"/>
        <v>1</v>
      </c>
      <c r="S42" s="17">
        <f t="shared" si="3"/>
        <v>197</v>
      </c>
      <c r="T42" s="18">
        <f t="shared" si="4"/>
        <v>5.707557403</v>
      </c>
      <c r="U42" s="8"/>
      <c r="V42" s="8"/>
      <c r="W42" s="2"/>
      <c r="X42" s="2"/>
      <c r="Y42" s="2"/>
      <c r="Z42" s="2"/>
      <c r="AA42" s="2"/>
      <c r="AB42" s="2"/>
      <c r="AC42" s="2"/>
    </row>
    <row r="43">
      <c r="A43" s="15">
        <v>1039.0</v>
      </c>
      <c r="B43" s="15">
        <v>495.0</v>
      </c>
      <c r="C43" s="15">
        <v>51.0</v>
      </c>
      <c r="D43" s="15">
        <v>227.0</v>
      </c>
      <c r="E43" s="15">
        <v>273.0</v>
      </c>
      <c r="F43" s="15">
        <v>420.319</v>
      </c>
      <c r="G43" s="15"/>
      <c r="H43" s="5"/>
      <c r="I43" s="15">
        <v>1039.0</v>
      </c>
      <c r="J43" s="15">
        <v>495.0</v>
      </c>
      <c r="K43" s="15">
        <v>51.0</v>
      </c>
      <c r="L43" s="15">
        <v>227.0</v>
      </c>
      <c r="M43" s="15">
        <v>273.0</v>
      </c>
      <c r="N43" s="15">
        <v>38.39386</v>
      </c>
      <c r="O43" s="2"/>
      <c r="P43" s="16" t="b">
        <f t="shared" ref="P43:R43" si="42">C43=K43</f>
        <v>1</v>
      </c>
      <c r="Q43" s="16" t="b">
        <f t="shared" si="42"/>
        <v>1</v>
      </c>
      <c r="R43" s="16" t="b">
        <f t="shared" si="42"/>
        <v>1</v>
      </c>
      <c r="S43" s="17">
        <f t="shared" si="3"/>
        <v>495</v>
      </c>
      <c r="T43" s="18">
        <f t="shared" si="4"/>
        <v>10.94755776</v>
      </c>
      <c r="U43" s="8"/>
      <c r="V43" s="8"/>
      <c r="W43" s="2"/>
      <c r="X43" s="2"/>
      <c r="Y43" s="2"/>
      <c r="Z43" s="2"/>
      <c r="AA43" s="2"/>
      <c r="AB43" s="2"/>
      <c r="AC43" s="2"/>
    </row>
    <row r="44">
      <c r="A44" s="15">
        <v>1040.0</v>
      </c>
      <c r="B44" s="15">
        <v>426.0</v>
      </c>
      <c r="C44" s="15">
        <v>47.0</v>
      </c>
      <c r="D44" s="15">
        <v>284.0</v>
      </c>
      <c r="E44" s="15">
        <v>335.0</v>
      </c>
      <c r="F44" s="15">
        <v>358.8626</v>
      </c>
      <c r="G44" s="15"/>
      <c r="H44" s="5"/>
      <c r="I44" s="15">
        <v>1040.0</v>
      </c>
      <c r="J44" s="15">
        <v>426.0</v>
      </c>
      <c r="K44" s="15">
        <v>47.0</v>
      </c>
      <c r="L44" s="15">
        <v>284.0</v>
      </c>
      <c r="M44" s="15">
        <v>335.0</v>
      </c>
      <c r="N44" s="15">
        <v>36.9449</v>
      </c>
      <c r="O44" s="2"/>
      <c r="P44" s="16" t="b">
        <f t="shared" ref="P44:R44" si="43">C44=K44</f>
        <v>1</v>
      </c>
      <c r="Q44" s="16" t="b">
        <f t="shared" si="43"/>
        <v>1</v>
      </c>
      <c r="R44" s="16" t="b">
        <f t="shared" si="43"/>
        <v>1</v>
      </c>
      <c r="S44" s="17">
        <f t="shared" si="3"/>
        <v>426</v>
      </c>
      <c r="T44" s="18">
        <f t="shared" si="4"/>
        <v>9.71345436</v>
      </c>
      <c r="U44" s="8"/>
      <c r="V44" s="8"/>
      <c r="W44" s="2"/>
      <c r="X44" s="2"/>
      <c r="Y44" s="2"/>
      <c r="Z44" s="2"/>
      <c r="AA44" s="2"/>
      <c r="AB44" s="2"/>
      <c r="AC44" s="2"/>
    </row>
    <row r="45">
      <c r="A45" s="15">
        <v>1041.0</v>
      </c>
      <c r="B45" s="15">
        <v>215.0</v>
      </c>
      <c r="C45" s="15">
        <v>56.0</v>
      </c>
      <c r="D45" s="15">
        <v>144.0</v>
      </c>
      <c r="E45" s="15">
        <v>197.0</v>
      </c>
      <c r="F45" s="15">
        <v>185.8015</v>
      </c>
      <c r="G45" s="15"/>
      <c r="H45" s="5"/>
      <c r="I45" s="15">
        <v>1041.0</v>
      </c>
      <c r="J45" s="15">
        <v>215.0</v>
      </c>
      <c r="K45" s="15">
        <v>56.0</v>
      </c>
      <c r="L45" s="15">
        <v>144.0</v>
      </c>
      <c r="M45" s="15">
        <v>197.0</v>
      </c>
      <c r="N45" s="15">
        <v>34.5039</v>
      </c>
      <c r="O45" s="2"/>
      <c r="P45" s="16" t="b">
        <f t="shared" ref="P45:R45" si="44">C45=K45</f>
        <v>1</v>
      </c>
      <c r="Q45" s="16" t="b">
        <f t="shared" si="44"/>
        <v>1</v>
      </c>
      <c r="R45" s="16" t="b">
        <f t="shared" si="44"/>
        <v>1</v>
      </c>
      <c r="S45" s="17">
        <f t="shared" si="3"/>
        <v>215</v>
      </c>
      <c r="T45" s="18">
        <f t="shared" si="4"/>
        <v>5.384941992</v>
      </c>
      <c r="U45" s="8"/>
      <c r="V45" s="8"/>
      <c r="W45" s="2"/>
      <c r="X45" s="2"/>
      <c r="Y45" s="2"/>
      <c r="Z45" s="2"/>
      <c r="AA45" s="2"/>
      <c r="AB45" s="2"/>
      <c r="AC45" s="2"/>
    </row>
    <row r="46">
      <c r="A46" s="15">
        <v>1042.0</v>
      </c>
      <c r="B46" s="15">
        <v>611.0</v>
      </c>
      <c r="C46" s="15">
        <v>47.0</v>
      </c>
      <c r="D46" s="15">
        <v>287.0</v>
      </c>
      <c r="E46" s="15">
        <v>334.0</v>
      </c>
      <c r="F46" s="15">
        <v>562.1427</v>
      </c>
      <c r="G46" s="15"/>
      <c r="H46" s="5"/>
      <c r="I46" s="15">
        <v>1042.0</v>
      </c>
      <c r="J46" s="15">
        <v>611.0</v>
      </c>
      <c r="K46" s="15">
        <v>47.0</v>
      </c>
      <c r="L46" s="15">
        <v>287.0</v>
      </c>
      <c r="M46" s="15">
        <v>334.0</v>
      </c>
      <c r="N46" s="15">
        <v>41.93667</v>
      </c>
      <c r="O46" s="2"/>
      <c r="P46" s="16" t="b">
        <f t="shared" ref="P46:R46" si="45">C46=K46</f>
        <v>1</v>
      </c>
      <c r="Q46" s="16" t="b">
        <f t="shared" si="45"/>
        <v>1</v>
      </c>
      <c r="R46" s="16" t="b">
        <f t="shared" si="45"/>
        <v>1</v>
      </c>
      <c r="S46" s="17">
        <f t="shared" si="3"/>
        <v>611</v>
      </c>
      <c r="T46" s="18">
        <f t="shared" si="4"/>
        <v>13.40456216</v>
      </c>
      <c r="U46" s="8"/>
      <c r="V46" s="8"/>
      <c r="W46" s="2"/>
      <c r="X46" s="2"/>
      <c r="Y46" s="2"/>
      <c r="Z46" s="2"/>
      <c r="AA46" s="2"/>
      <c r="AB46" s="2"/>
      <c r="AC46" s="2"/>
    </row>
    <row r="47">
      <c r="A47" s="15">
        <v>1043.0</v>
      </c>
      <c r="B47" s="15">
        <v>571.0</v>
      </c>
      <c r="C47" s="15">
        <v>45.0</v>
      </c>
      <c r="D47" s="15">
        <v>510.0</v>
      </c>
      <c r="E47" s="15">
        <v>558.0</v>
      </c>
      <c r="F47" s="15">
        <v>477.468</v>
      </c>
      <c r="G47" s="15"/>
      <c r="H47" s="5"/>
      <c r="I47" s="15">
        <v>1043.0</v>
      </c>
      <c r="J47" s="15">
        <v>571.0</v>
      </c>
      <c r="K47" s="15">
        <v>45.0</v>
      </c>
      <c r="L47" s="15">
        <v>510.0</v>
      </c>
      <c r="M47" s="15">
        <v>558.0</v>
      </c>
      <c r="N47" s="15">
        <v>39.06669</v>
      </c>
      <c r="O47" s="2"/>
      <c r="P47" s="16" t="b">
        <f t="shared" ref="P47:R47" si="46">C47=K47</f>
        <v>1</v>
      </c>
      <c r="Q47" s="16" t="b">
        <f t="shared" si="46"/>
        <v>1</v>
      </c>
      <c r="R47" s="16" t="b">
        <f t="shared" si="46"/>
        <v>1</v>
      </c>
      <c r="S47" s="17">
        <f t="shared" si="3"/>
        <v>571</v>
      </c>
      <c r="T47" s="18">
        <f t="shared" si="4"/>
        <v>12.22186983</v>
      </c>
      <c r="U47" s="8"/>
      <c r="V47" s="8"/>
      <c r="W47" s="2"/>
      <c r="X47" s="2"/>
      <c r="Y47" s="2"/>
      <c r="Z47" s="2"/>
      <c r="AA47" s="2"/>
      <c r="AB47" s="2"/>
      <c r="AC47" s="2"/>
    </row>
    <row r="48">
      <c r="A48" s="15">
        <v>1044.0</v>
      </c>
      <c r="B48" s="15">
        <v>1255.0</v>
      </c>
      <c r="C48" s="15">
        <v>44.0</v>
      </c>
      <c r="D48" s="15">
        <v>442.0</v>
      </c>
      <c r="E48" s="15">
        <v>488.0</v>
      </c>
      <c r="F48" s="15">
        <v>1085.72</v>
      </c>
      <c r="G48" s="15"/>
      <c r="H48" s="5"/>
      <c r="I48" s="15">
        <v>1044.0</v>
      </c>
      <c r="J48" s="15">
        <v>1255.0</v>
      </c>
      <c r="K48" s="15">
        <v>44.0</v>
      </c>
      <c r="L48" s="15">
        <v>442.0</v>
      </c>
      <c r="M48" s="15">
        <v>488.0</v>
      </c>
      <c r="N48" s="15">
        <v>58.15706</v>
      </c>
      <c r="O48" s="2"/>
      <c r="P48" s="16" t="b">
        <f t="shared" ref="P48:R48" si="47">C48=K48</f>
        <v>1</v>
      </c>
      <c r="Q48" s="16" t="b">
        <f t="shared" si="47"/>
        <v>1</v>
      </c>
      <c r="R48" s="16" t="b">
        <f t="shared" si="47"/>
        <v>1</v>
      </c>
      <c r="S48" s="17">
        <f t="shared" si="3"/>
        <v>1255</v>
      </c>
      <c r="T48" s="18">
        <f t="shared" si="4"/>
        <v>18.66875664</v>
      </c>
      <c r="U48" s="8"/>
      <c r="V48" s="8"/>
      <c r="W48" s="2"/>
      <c r="X48" s="2"/>
      <c r="Y48" s="2"/>
      <c r="Z48" s="2"/>
      <c r="AA48" s="2"/>
      <c r="AB48" s="2"/>
      <c r="AC48" s="2"/>
    </row>
    <row r="49">
      <c r="A49" s="15">
        <v>1045.0</v>
      </c>
      <c r="B49" s="15">
        <v>397.0</v>
      </c>
      <c r="C49" s="15">
        <v>47.0</v>
      </c>
      <c r="D49" s="15">
        <v>326.0</v>
      </c>
      <c r="E49" s="15">
        <v>377.0</v>
      </c>
      <c r="F49" s="15">
        <v>338.0562</v>
      </c>
      <c r="G49" s="15"/>
      <c r="H49" s="5"/>
      <c r="I49" s="15">
        <v>1045.0</v>
      </c>
      <c r="J49" s="15">
        <v>397.0</v>
      </c>
      <c r="K49" s="15">
        <v>47.0</v>
      </c>
      <c r="L49" s="15">
        <v>326.0</v>
      </c>
      <c r="M49" s="15">
        <v>377.0</v>
      </c>
      <c r="N49" s="15">
        <v>36.81587</v>
      </c>
      <c r="O49" s="2"/>
      <c r="P49" s="16" t="b">
        <f t="shared" ref="P49:R49" si="48">C49=K49</f>
        <v>1</v>
      </c>
      <c r="Q49" s="16" t="b">
        <f t="shared" si="48"/>
        <v>1</v>
      </c>
      <c r="R49" s="16" t="b">
        <f t="shared" si="48"/>
        <v>1</v>
      </c>
      <c r="S49" s="17">
        <f t="shared" si="3"/>
        <v>397</v>
      </c>
      <c r="T49" s="18">
        <f t="shared" si="4"/>
        <v>9.182349894</v>
      </c>
      <c r="U49" s="8"/>
      <c r="V49" s="8"/>
      <c r="W49" s="2"/>
      <c r="X49" s="2"/>
      <c r="Y49" s="2"/>
      <c r="Z49" s="2"/>
      <c r="AA49" s="2"/>
      <c r="AB49" s="2"/>
      <c r="AC49" s="2"/>
    </row>
    <row r="50">
      <c r="A50" s="15">
        <v>1046.0</v>
      </c>
      <c r="B50" s="15">
        <v>708.0</v>
      </c>
      <c r="C50" s="15">
        <v>49.0</v>
      </c>
      <c r="D50" s="15">
        <v>526.0</v>
      </c>
      <c r="E50" s="15">
        <v>567.0</v>
      </c>
      <c r="F50" s="15">
        <v>603.3852</v>
      </c>
      <c r="G50" s="15"/>
      <c r="H50" s="5"/>
      <c r="I50" s="15">
        <v>1046.0</v>
      </c>
      <c r="J50" s="15">
        <v>708.0</v>
      </c>
      <c r="K50" s="15">
        <v>49.0</v>
      </c>
      <c r="L50" s="15">
        <v>526.0</v>
      </c>
      <c r="M50" s="15">
        <v>567.0</v>
      </c>
      <c r="N50" s="15">
        <v>42.99264</v>
      </c>
      <c r="O50" s="2"/>
      <c r="P50" s="16" t="b">
        <f t="shared" ref="P50:R50" si="49">C50=K50</f>
        <v>1</v>
      </c>
      <c r="Q50" s="16" t="b">
        <f t="shared" si="49"/>
        <v>1</v>
      </c>
      <c r="R50" s="16" t="b">
        <f t="shared" si="49"/>
        <v>1</v>
      </c>
      <c r="S50" s="17">
        <f t="shared" si="3"/>
        <v>708</v>
      </c>
      <c r="T50" s="18">
        <f t="shared" si="4"/>
        <v>14.03461616</v>
      </c>
      <c r="U50" s="8"/>
      <c r="V50" s="8"/>
      <c r="W50" s="2"/>
      <c r="X50" s="2"/>
      <c r="Y50" s="2"/>
      <c r="Z50" s="2"/>
      <c r="AA50" s="2"/>
      <c r="AB50" s="2"/>
      <c r="AC50" s="2"/>
    </row>
    <row r="51">
      <c r="A51" s="15">
        <v>1047.0</v>
      </c>
      <c r="B51" s="15">
        <v>1375.0</v>
      </c>
      <c r="C51" s="15">
        <v>50.0</v>
      </c>
      <c r="D51" s="15">
        <v>906.0</v>
      </c>
      <c r="E51" s="15">
        <v>957.0</v>
      </c>
      <c r="F51" s="15">
        <v>1204.541</v>
      </c>
      <c r="G51" s="15"/>
      <c r="H51" s="5"/>
      <c r="I51" s="15">
        <v>1047.0</v>
      </c>
      <c r="J51" s="15">
        <v>1375.0</v>
      </c>
      <c r="K51" s="15">
        <v>50.0</v>
      </c>
      <c r="L51" s="15">
        <v>906.0</v>
      </c>
      <c r="M51" s="15">
        <v>957.0</v>
      </c>
      <c r="N51" s="15">
        <v>65.03229</v>
      </c>
      <c r="O51" s="2"/>
      <c r="P51" s="16" t="b">
        <f t="shared" ref="P51:R51" si="50">C51=K51</f>
        <v>1</v>
      </c>
      <c r="Q51" s="16" t="b">
        <f t="shared" si="50"/>
        <v>1</v>
      </c>
      <c r="R51" s="16" t="b">
        <f t="shared" si="50"/>
        <v>1</v>
      </c>
      <c r="S51" s="17">
        <f t="shared" si="3"/>
        <v>1375</v>
      </c>
      <c r="T51" s="18">
        <f t="shared" si="4"/>
        <v>18.52219874</v>
      </c>
      <c r="U51" s="8"/>
      <c r="V51" s="8"/>
      <c r="W51" s="2"/>
      <c r="X51" s="2"/>
      <c r="Y51" s="2"/>
      <c r="Z51" s="2"/>
      <c r="AA51" s="2"/>
      <c r="AB51" s="2"/>
      <c r="AC51" s="2"/>
    </row>
    <row r="52">
      <c r="A52" s="15">
        <v>1048.0</v>
      </c>
      <c r="B52" s="15">
        <v>549.0</v>
      </c>
      <c r="C52" s="15">
        <v>50.0</v>
      </c>
      <c r="D52" s="15">
        <v>316.0</v>
      </c>
      <c r="E52" s="15">
        <v>354.0</v>
      </c>
      <c r="F52" s="15">
        <v>474.3689</v>
      </c>
      <c r="G52" s="15"/>
      <c r="H52" s="5"/>
      <c r="I52" s="15">
        <v>1048.0</v>
      </c>
      <c r="J52" s="15">
        <v>549.0</v>
      </c>
      <c r="K52" s="15">
        <v>50.0</v>
      </c>
      <c r="L52" s="15">
        <v>316.0</v>
      </c>
      <c r="M52" s="15">
        <v>354.0</v>
      </c>
      <c r="N52" s="15">
        <v>37.1415</v>
      </c>
      <c r="O52" s="2"/>
      <c r="P52" s="16" t="b">
        <f t="shared" ref="P52:R52" si="51">C52=K52</f>
        <v>1</v>
      </c>
      <c r="Q52" s="16" t="b">
        <f t="shared" si="51"/>
        <v>1</v>
      </c>
      <c r="R52" s="16" t="b">
        <f t="shared" si="51"/>
        <v>1</v>
      </c>
      <c r="S52" s="17">
        <f t="shared" si="3"/>
        <v>549</v>
      </c>
      <c r="T52" s="18">
        <f t="shared" si="4"/>
        <v>12.77193705</v>
      </c>
      <c r="U52" s="8"/>
      <c r="V52" s="8"/>
      <c r="W52" s="2"/>
      <c r="X52" s="2"/>
      <c r="Y52" s="2"/>
      <c r="Z52" s="2"/>
      <c r="AA52" s="2"/>
      <c r="AB52" s="2"/>
      <c r="AC52" s="2"/>
    </row>
    <row r="53">
      <c r="A53" s="15">
        <v>1049.0</v>
      </c>
      <c r="B53" s="15">
        <v>563.0</v>
      </c>
      <c r="C53" s="15">
        <v>47.0</v>
      </c>
      <c r="D53" s="15">
        <v>132.0</v>
      </c>
      <c r="E53" s="15">
        <v>172.0</v>
      </c>
      <c r="F53" s="15">
        <v>489.6396</v>
      </c>
      <c r="G53" s="15"/>
      <c r="H53" s="5"/>
      <c r="I53" s="15">
        <v>1049.0</v>
      </c>
      <c r="J53" s="15">
        <v>563.0</v>
      </c>
      <c r="K53" s="15">
        <v>47.0</v>
      </c>
      <c r="L53" s="15">
        <v>132.0</v>
      </c>
      <c r="M53" s="15">
        <v>172.0</v>
      </c>
      <c r="N53" s="15">
        <v>38.63843</v>
      </c>
      <c r="O53" s="2"/>
      <c r="P53" s="16" t="b">
        <f t="shared" ref="P53:R53" si="52">C53=K53</f>
        <v>1</v>
      </c>
      <c r="Q53" s="16" t="b">
        <f t="shared" si="52"/>
        <v>1</v>
      </c>
      <c r="R53" s="16" t="b">
        <f t="shared" si="52"/>
        <v>1</v>
      </c>
      <c r="S53" s="17">
        <f t="shared" si="3"/>
        <v>563</v>
      </c>
      <c r="T53" s="18">
        <f t="shared" si="4"/>
        <v>12.67234719</v>
      </c>
      <c r="U53" s="8"/>
      <c r="V53" s="8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5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5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5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5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5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5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5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5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5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5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5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5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5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5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5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5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5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5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5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5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5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5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5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5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5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5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5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5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5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5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5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5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5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5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5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5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5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5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5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5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5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5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5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5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5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5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5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5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5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5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5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5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5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5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5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5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5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5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5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5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5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5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5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5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5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5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5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5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5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5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5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5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5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5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5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5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5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5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5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5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5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5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5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5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5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5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5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5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5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5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5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5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5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5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5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5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5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5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5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5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5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5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5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5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5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5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5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5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5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5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5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5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5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5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5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5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5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5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5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5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5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5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5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5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5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5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5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5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5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5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5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5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5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5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5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5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5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5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5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5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5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5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5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5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5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5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5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5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5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5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5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5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5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5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5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5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5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5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5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5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5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5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5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5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5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5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5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5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5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5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5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5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5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5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5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5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5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5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5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5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5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5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5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5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5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5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5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5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5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5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5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5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5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5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5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5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5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5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5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5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5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5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5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5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5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5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5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5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5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5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5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5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5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5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5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5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5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5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5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5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5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5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5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5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5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5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5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5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5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5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5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5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5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5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5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5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5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5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5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5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5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5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5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5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5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5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5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5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5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5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5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5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5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5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5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5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5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5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5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5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5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5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5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5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5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5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5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5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5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5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5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5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5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5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5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5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5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5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5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5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5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5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5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5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5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5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5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5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5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5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5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5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5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5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5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5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5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5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5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5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5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5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5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5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5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5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5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5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5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5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5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5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5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5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5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5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5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5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5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5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5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5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5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5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5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5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5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5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5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5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5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5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5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5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5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5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5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5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5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5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5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5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5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5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5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5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5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5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5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5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5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5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5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5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5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5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5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5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5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5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5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5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5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5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5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5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5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5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5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5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5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5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5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5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5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5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5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5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5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5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5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5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5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5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5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5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5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5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5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5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5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5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5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5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5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5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5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5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5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5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5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5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5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5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5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5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5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5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5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5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5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5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5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5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5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5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5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5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5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5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5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5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5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5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5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5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5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5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5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5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5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5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5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5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5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5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5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5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5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5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5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5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5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5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5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5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5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5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5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5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5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5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5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5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5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5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5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5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5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5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5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5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5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5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5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5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5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5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5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5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5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5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5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5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5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5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5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5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5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5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5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5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5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5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5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5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5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5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5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5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5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5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5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5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5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5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5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5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5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5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5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5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5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5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5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5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5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5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5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5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5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5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5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5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5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5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5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5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5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5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5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5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5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5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5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5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5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5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5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5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5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5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5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5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5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5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5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5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5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5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5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5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5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5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5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5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5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5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5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5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5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5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5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5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5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5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5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5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5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5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5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5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5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5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5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5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5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5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5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5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5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5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5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5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5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5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5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5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5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5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5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5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5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5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5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5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5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5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5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5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5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5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5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5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5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5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5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5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5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5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5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5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5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5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5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5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5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5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5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5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5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5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5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5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5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5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5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5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5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5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5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5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5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5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5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5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5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5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5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5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5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5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5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5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5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5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5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5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5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5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5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5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5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5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5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5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5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5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5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5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5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5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5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5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5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5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5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5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5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5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5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5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5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5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5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5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5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5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5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5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5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5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5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5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5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5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5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5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5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5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5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5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5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5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5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5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5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5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5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5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5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5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5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5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5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5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5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5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5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5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5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5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5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5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5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5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5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5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5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5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5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5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5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5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5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5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5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5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5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5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5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5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5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5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5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5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5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5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5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5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5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5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5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5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5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O1"/>
    <mergeCell ref="A2:G2"/>
    <mergeCell ref="I2:O2"/>
    <mergeCell ref="P2:R2"/>
    <mergeCell ref="T2:V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31</v>
      </c>
      <c r="J1" s="2"/>
      <c r="K1" s="3" t="s">
        <v>32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4" t="s">
        <v>2</v>
      </c>
      <c r="H2" s="5"/>
      <c r="I2" s="6" t="s">
        <v>3</v>
      </c>
      <c r="P2" s="7" t="s">
        <v>4</v>
      </c>
      <c r="S2" s="8"/>
      <c r="T2" s="9" t="s">
        <v>5</v>
      </c>
      <c r="W2" s="2"/>
      <c r="X2" s="2"/>
      <c r="Y2" s="2"/>
      <c r="Z2" s="2"/>
      <c r="AA2" s="2"/>
      <c r="AB2" s="2"/>
      <c r="AC2" s="2"/>
    </row>
    <row r="3">
      <c r="A3" s="10" t="s">
        <v>6</v>
      </c>
      <c r="B3" s="10" t="s">
        <v>7</v>
      </c>
      <c r="C3" s="10" t="s">
        <v>8</v>
      </c>
      <c r="D3" s="10" t="s">
        <v>9</v>
      </c>
      <c r="E3" s="10" t="s">
        <v>10</v>
      </c>
      <c r="F3" s="11" t="s">
        <v>11</v>
      </c>
      <c r="G3" s="11" t="s">
        <v>20</v>
      </c>
      <c r="H3" s="12" t="s">
        <v>12</v>
      </c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  <c r="N3" s="11" t="s">
        <v>11</v>
      </c>
      <c r="O3" s="11" t="s">
        <v>20</v>
      </c>
      <c r="P3" s="13" t="s">
        <v>8</v>
      </c>
      <c r="Q3" s="13" t="s">
        <v>13</v>
      </c>
      <c r="R3" s="13" t="s">
        <v>10</v>
      </c>
      <c r="S3" s="13" t="s">
        <v>7</v>
      </c>
      <c r="T3" s="14" t="s">
        <v>5</v>
      </c>
      <c r="U3" s="8"/>
      <c r="V3" s="8"/>
      <c r="W3" s="2"/>
      <c r="X3" s="2"/>
      <c r="Y3" s="2"/>
      <c r="Z3" s="2"/>
      <c r="AA3" s="2"/>
      <c r="AB3" s="2"/>
      <c r="AC3" s="2"/>
    </row>
    <row r="4">
      <c r="A4" s="15">
        <v>7550.0</v>
      </c>
      <c r="B4" s="15">
        <v>173.0</v>
      </c>
      <c r="C4" s="15">
        <v>35.0</v>
      </c>
      <c r="D4" s="15">
        <v>140.0</v>
      </c>
      <c r="E4" s="15">
        <v>168.0</v>
      </c>
      <c r="F4" s="15">
        <v>150.6133</v>
      </c>
      <c r="G4" s="15"/>
      <c r="H4" s="5">
        <f>MAX(C:C)</f>
        <v>268</v>
      </c>
      <c r="I4" s="15">
        <v>7550.0</v>
      </c>
      <c r="J4" s="15">
        <v>173.0</v>
      </c>
      <c r="K4" s="15">
        <v>35.0</v>
      </c>
      <c r="L4" s="15">
        <v>140.0</v>
      </c>
      <c r="M4" s="15">
        <v>168.0</v>
      </c>
      <c r="N4" s="15">
        <v>21.40467</v>
      </c>
      <c r="O4" s="2"/>
      <c r="P4" s="16" t="b">
        <f t="shared" ref="P4:R4" si="1">C4=K4</f>
        <v>1</v>
      </c>
      <c r="Q4" s="16" t="b">
        <f t="shared" si="1"/>
        <v>1</v>
      </c>
      <c r="R4" s="16" t="b">
        <f t="shared" si="1"/>
        <v>1</v>
      </c>
      <c r="S4" s="17">
        <f t="shared" ref="S4:S53" si="3">J4</f>
        <v>173</v>
      </c>
      <c r="T4" s="18">
        <f t="shared" ref="T4:T53" si="4">F4/N4</f>
        <v>7.036469144</v>
      </c>
      <c r="U4" s="19" t="s">
        <v>14</v>
      </c>
      <c r="V4" s="20">
        <f>AVERAGE(T:T)</f>
        <v>10.39910051</v>
      </c>
      <c r="W4" s="2"/>
      <c r="X4" s="2"/>
      <c r="Y4" s="2"/>
      <c r="Z4" s="2"/>
      <c r="AA4" s="2"/>
      <c r="AB4" s="2"/>
      <c r="AC4" s="2"/>
    </row>
    <row r="5">
      <c r="A5" s="15">
        <v>7551.0</v>
      </c>
      <c r="B5" s="15">
        <v>262.0</v>
      </c>
      <c r="C5" s="15">
        <v>46.0</v>
      </c>
      <c r="D5" s="15">
        <v>69.0</v>
      </c>
      <c r="E5" s="15">
        <v>109.0</v>
      </c>
      <c r="F5" s="15">
        <v>217.0413</v>
      </c>
      <c r="G5" s="15"/>
      <c r="H5" s="12" t="s">
        <v>15</v>
      </c>
      <c r="I5" s="15">
        <v>7551.0</v>
      </c>
      <c r="J5" s="15">
        <v>262.0</v>
      </c>
      <c r="K5" s="15">
        <v>46.0</v>
      </c>
      <c r="L5" s="15">
        <v>69.0</v>
      </c>
      <c r="M5" s="15">
        <v>109.0</v>
      </c>
      <c r="N5" s="15">
        <v>28.44976</v>
      </c>
      <c r="O5" s="2"/>
      <c r="P5" s="16" t="b">
        <f t="shared" ref="P5:R5" si="2">C5=K5</f>
        <v>1</v>
      </c>
      <c r="Q5" s="16" t="b">
        <f t="shared" si="2"/>
        <v>1</v>
      </c>
      <c r="R5" s="16" t="b">
        <f t="shared" si="2"/>
        <v>1</v>
      </c>
      <c r="S5" s="17">
        <f t="shared" si="3"/>
        <v>262</v>
      </c>
      <c r="T5" s="18">
        <f t="shared" si="4"/>
        <v>7.628932546</v>
      </c>
      <c r="U5" s="19" t="s">
        <v>16</v>
      </c>
      <c r="V5" s="20">
        <f>max(T:T)</f>
        <v>15.34758208</v>
      </c>
      <c r="W5" s="2"/>
      <c r="X5" s="2"/>
      <c r="Y5" s="2"/>
      <c r="Z5" s="2"/>
      <c r="AA5" s="2"/>
      <c r="AB5" s="2"/>
      <c r="AC5" s="2"/>
    </row>
    <row r="6">
      <c r="A6" s="15">
        <v>7552.0</v>
      </c>
      <c r="B6" s="15">
        <v>121.0</v>
      </c>
      <c r="C6" s="15">
        <v>48.0</v>
      </c>
      <c r="D6" s="15">
        <v>58.0</v>
      </c>
      <c r="E6" s="15">
        <v>102.0</v>
      </c>
      <c r="F6" s="15">
        <v>100.1061</v>
      </c>
      <c r="G6" s="15"/>
      <c r="H6" s="5">
        <f t="array" ref="H6">INDEX(A:A, MATCH(H4, C:C, 0))</f>
        <v>7557</v>
      </c>
      <c r="I6" s="15">
        <v>7552.0</v>
      </c>
      <c r="J6" s="15">
        <v>121.0</v>
      </c>
      <c r="K6" s="15">
        <v>48.0</v>
      </c>
      <c r="L6" s="15">
        <v>58.0</v>
      </c>
      <c r="M6" s="15">
        <v>102.0</v>
      </c>
      <c r="N6" s="15">
        <v>30.63827</v>
      </c>
      <c r="O6" s="2"/>
      <c r="P6" s="16" t="b">
        <f t="shared" ref="P6:R6" si="5">C6=K6</f>
        <v>1</v>
      </c>
      <c r="Q6" s="16" t="b">
        <f t="shared" si="5"/>
        <v>1</v>
      </c>
      <c r="R6" s="16" t="b">
        <f t="shared" si="5"/>
        <v>1</v>
      </c>
      <c r="S6" s="17">
        <f t="shared" si="3"/>
        <v>121</v>
      </c>
      <c r="T6" s="18">
        <f t="shared" si="4"/>
        <v>3.267354847</v>
      </c>
      <c r="U6" s="19" t="s">
        <v>17</v>
      </c>
      <c r="V6" s="20">
        <f>MIN(T:T)</f>
        <v>3.267354847</v>
      </c>
      <c r="W6" s="2"/>
      <c r="X6" s="2"/>
      <c r="Y6" s="2"/>
      <c r="Z6" s="2"/>
      <c r="AA6" s="2"/>
      <c r="AB6" s="2"/>
      <c r="AC6" s="2"/>
    </row>
    <row r="7">
      <c r="A7" s="15">
        <v>7553.0</v>
      </c>
      <c r="B7" s="15">
        <v>435.0</v>
      </c>
      <c r="C7" s="15">
        <v>42.0</v>
      </c>
      <c r="D7" s="15">
        <v>396.0</v>
      </c>
      <c r="E7" s="15">
        <v>428.0</v>
      </c>
      <c r="F7" s="15">
        <v>370.2932</v>
      </c>
      <c r="G7" s="15"/>
      <c r="H7" s="5"/>
      <c r="I7" s="15">
        <v>7553.0</v>
      </c>
      <c r="J7" s="15">
        <v>435.0</v>
      </c>
      <c r="K7" s="15">
        <v>42.0</v>
      </c>
      <c r="L7" s="15">
        <v>396.0</v>
      </c>
      <c r="M7" s="15">
        <v>428.0</v>
      </c>
      <c r="N7" s="15">
        <v>34.35917</v>
      </c>
      <c r="O7" s="2"/>
      <c r="P7" s="16" t="b">
        <f t="shared" ref="P7:R7" si="6">C7=K7</f>
        <v>1</v>
      </c>
      <c r="Q7" s="16" t="b">
        <f t="shared" si="6"/>
        <v>1</v>
      </c>
      <c r="R7" s="16" t="b">
        <f t="shared" si="6"/>
        <v>1</v>
      </c>
      <c r="S7" s="17">
        <f t="shared" si="3"/>
        <v>435</v>
      </c>
      <c r="T7" s="18">
        <f t="shared" si="4"/>
        <v>10.77712878</v>
      </c>
      <c r="U7" s="8"/>
      <c r="V7" s="8"/>
      <c r="W7" s="2"/>
      <c r="X7" s="2"/>
      <c r="Y7" s="2"/>
      <c r="Z7" s="2"/>
      <c r="AA7" s="2"/>
      <c r="AB7" s="2"/>
      <c r="AC7" s="2"/>
    </row>
    <row r="8">
      <c r="A8" s="15">
        <v>7554.0</v>
      </c>
      <c r="B8" s="15">
        <v>588.0</v>
      </c>
      <c r="C8" s="15">
        <v>51.0</v>
      </c>
      <c r="D8" s="15">
        <v>511.0</v>
      </c>
      <c r="E8" s="15">
        <v>554.0</v>
      </c>
      <c r="F8" s="15">
        <v>500.4066</v>
      </c>
      <c r="G8" s="15"/>
      <c r="H8" s="5"/>
      <c r="I8" s="15">
        <v>7554.0</v>
      </c>
      <c r="J8" s="15">
        <v>588.0</v>
      </c>
      <c r="K8" s="15">
        <v>51.0</v>
      </c>
      <c r="L8" s="15">
        <v>511.0</v>
      </c>
      <c r="M8" s="15">
        <v>554.0</v>
      </c>
      <c r="N8" s="15">
        <v>40.36198</v>
      </c>
      <c r="O8" s="2"/>
      <c r="P8" s="16" t="b">
        <f t="shared" ref="P8:R8" si="7">C8=K8</f>
        <v>1</v>
      </c>
      <c r="Q8" s="16" t="b">
        <f t="shared" si="7"/>
        <v>1</v>
      </c>
      <c r="R8" s="16" t="b">
        <f t="shared" si="7"/>
        <v>1</v>
      </c>
      <c r="S8" s="17">
        <f t="shared" si="3"/>
        <v>588</v>
      </c>
      <c r="T8" s="18">
        <f t="shared" si="4"/>
        <v>12.39796957</v>
      </c>
      <c r="U8" s="8"/>
      <c r="V8" s="8"/>
      <c r="W8" s="2"/>
      <c r="X8" s="2"/>
      <c r="Y8" s="2"/>
      <c r="Z8" s="2"/>
      <c r="AA8" s="2"/>
      <c r="AB8" s="2"/>
      <c r="AC8" s="2"/>
    </row>
    <row r="9">
      <c r="A9" s="15">
        <v>7555.0</v>
      </c>
      <c r="B9" s="15">
        <v>513.0</v>
      </c>
      <c r="C9" s="15">
        <v>54.0</v>
      </c>
      <c r="D9" s="15">
        <v>123.0</v>
      </c>
      <c r="E9" s="15">
        <v>163.0</v>
      </c>
      <c r="F9" s="15">
        <v>427.5647</v>
      </c>
      <c r="G9" s="15"/>
      <c r="H9" s="5"/>
      <c r="I9" s="15">
        <v>7555.0</v>
      </c>
      <c r="J9" s="15">
        <v>513.0</v>
      </c>
      <c r="K9" s="15">
        <v>54.0</v>
      </c>
      <c r="L9" s="15">
        <v>123.0</v>
      </c>
      <c r="M9" s="15">
        <v>163.0</v>
      </c>
      <c r="N9" s="15">
        <v>37.15159</v>
      </c>
      <c r="O9" s="2"/>
      <c r="P9" s="16" t="b">
        <f t="shared" ref="P9:R9" si="8">C9=K9</f>
        <v>1</v>
      </c>
      <c r="Q9" s="16" t="b">
        <f t="shared" si="8"/>
        <v>1</v>
      </c>
      <c r="R9" s="16" t="b">
        <f t="shared" si="8"/>
        <v>1</v>
      </c>
      <c r="S9" s="17">
        <f t="shared" si="3"/>
        <v>513</v>
      </c>
      <c r="T9" s="18">
        <f t="shared" si="4"/>
        <v>11.50865145</v>
      </c>
      <c r="U9" s="8"/>
      <c r="V9" s="8"/>
      <c r="W9" s="2"/>
      <c r="X9" s="2"/>
      <c r="Y9" s="2"/>
      <c r="Z9" s="2"/>
      <c r="AA9" s="2"/>
      <c r="AB9" s="2"/>
      <c r="AC9" s="2"/>
    </row>
    <row r="10">
      <c r="A10" s="15">
        <v>7556.0</v>
      </c>
      <c r="B10" s="15">
        <v>487.0</v>
      </c>
      <c r="C10" s="15">
        <v>58.0</v>
      </c>
      <c r="D10" s="15">
        <v>191.0</v>
      </c>
      <c r="E10" s="15">
        <v>246.0</v>
      </c>
      <c r="F10" s="15">
        <v>403.4076</v>
      </c>
      <c r="G10" s="15"/>
      <c r="H10" s="5"/>
      <c r="I10" s="15">
        <v>7556.0</v>
      </c>
      <c r="J10" s="15">
        <v>487.0</v>
      </c>
      <c r="K10" s="15">
        <v>58.0</v>
      </c>
      <c r="L10" s="15">
        <v>191.0</v>
      </c>
      <c r="M10" s="15">
        <v>246.0</v>
      </c>
      <c r="N10" s="15">
        <v>38.38259</v>
      </c>
      <c r="O10" s="2"/>
      <c r="P10" s="16" t="b">
        <f t="shared" ref="P10:R10" si="9">C10=K10</f>
        <v>1</v>
      </c>
      <c r="Q10" s="16" t="b">
        <f t="shared" si="9"/>
        <v>1</v>
      </c>
      <c r="R10" s="16" t="b">
        <f t="shared" si="9"/>
        <v>1</v>
      </c>
      <c r="S10" s="17">
        <f t="shared" si="3"/>
        <v>487</v>
      </c>
      <c r="T10" s="18">
        <f t="shared" si="4"/>
        <v>10.51017141</v>
      </c>
      <c r="U10" s="8"/>
      <c r="V10" s="8"/>
      <c r="W10" s="2"/>
      <c r="X10" s="2"/>
      <c r="Y10" s="2"/>
      <c r="Z10" s="2"/>
      <c r="AA10" s="2"/>
      <c r="AB10" s="2"/>
      <c r="AC10" s="2"/>
    </row>
    <row r="11">
      <c r="A11" s="15">
        <v>7557.0</v>
      </c>
      <c r="B11" s="15">
        <v>243.0</v>
      </c>
      <c r="C11" s="15">
        <v>268.0</v>
      </c>
      <c r="D11" s="15">
        <v>2.0</v>
      </c>
      <c r="E11" s="15">
        <v>51.0</v>
      </c>
      <c r="F11" s="15">
        <v>202.852</v>
      </c>
      <c r="G11" s="15"/>
      <c r="H11" s="5"/>
      <c r="I11" s="15">
        <v>7557.0</v>
      </c>
      <c r="J11" s="15">
        <v>243.0</v>
      </c>
      <c r="K11" s="15">
        <v>268.0</v>
      </c>
      <c r="L11" s="15">
        <v>2.0</v>
      </c>
      <c r="M11" s="15">
        <v>51.0</v>
      </c>
      <c r="N11" s="15">
        <v>31.78803</v>
      </c>
      <c r="O11" s="2"/>
      <c r="P11" s="16" t="b">
        <f t="shared" ref="P11:R11" si="10">C11=K11</f>
        <v>1</v>
      </c>
      <c r="Q11" s="16" t="b">
        <f t="shared" si="10"/>
        <v>1</v>
      </c>
      <c r="R11" s="16" t="b">
        <f t="shared" si="10"/>
        <v>1</v>
      </c>
      <c r="S11" s="17">
        <f t="shared" si="3"/>
        <v>243</v>
      </c>
      <c r="T11" s="18">
        <f t="shared" si="4"/>
        <v>6.381395764</v>
      </c>
      <c r="U11" s="8"/>
      <c r="V11" s="8"/>
      <c r="W11" s="2"/>
      <c r="X11" s="2"/>
      <c r="Y11" s="2"/>
      <c r="Z11" s="2"/>
      <c r="AA11" s="2"/>
      <c r="AB11" s="2"/>
      <c r="AC11" s="2"/>
    </row>
    <row r="12">
      <c r="A12" s="15">
        <v>7558.0</v>
      </c>
      <c r="B12" s="15">
        <v>524.0</v>
      </c>
      <c r="C12" s="15">
        <v>52.0</v>
      </c>
      <c r="D12" s="15">
        <v>280.0</v>
      </c>
      <c r="E12" s="15">
        <v>322.0</v>
      </c>
      <c r="F12" s="15">
        <v>431.3333</v>
      </c>
      <c r="G12" s="15"/>
      <c r="H12" s="5"/>
      <c r="I12" s="15">
        <v>7558.0</v>
      </c>
      <c r="J12" s="15">
        <v>524.0</v>
      </c>
      <c r="K12" s="15">
        <v>52.0</v>
      </c>
      <c r="L12" s="15">
        <v>280.0</v>
      </c>
      <c r="M12" s="15">
        <v>322.0</v>
      </c>
      <c r="N12" s="15">
        <v>40.24864</v>
      </c>
      <c r="O12" s="2"/>
      <c r="P12" s="16" t="b">
        <f t="shared" ref="P12:R12" si="11">C12=K12</f>
        <v>1</v>
      </c>
      <c r="Q12" s="16" t="b">
        <f t="shared" si="11"/>
        <v>1</v>
      </c>
      <c r="R12" s="16" t="b">
        <f t="shared" si="11"/>
        <v>1</v>
      </c>
      <c r="S12" s="17">
        <f t="shared" si="3"/>
        <v>524</v>
      </c>
      <c r="T12" s="18">
        <f t="shared" si="4"/>
        <v>10.71671738</v>
      </c>
      <c r="U12" s="8"/>
      <c r="V12" s="8"/>
      <c r="W12" s="2"/>
      <c r="X12" s="2"/>
      <c r="Y12" s="2"/>
      <c r="Z12" s="2"/>
      <c r="AA12" s="2"/>
      <c r="AB12" s="2"/>
      <c r="AC12" s="2"/>
    </row>
    <row r="13">
      <c r="A13" s="15">
        <v>7559.0</v>
      </c>
      <c r="B13" s="15">
        <v>253.0</v>
      </c>
      <c r="C13" s="15">
        <v>47.0</v>
      </c>
      <c r="D13" s="15">
        <v>11.0</v>
      </c>
      <c r="E13" s="15">
        <v>61.0</v>
      </c>
      <c r="F13" s="15">
        <v>208.3635</v>
      </c>
      <c r="G13" s="15"/>
      <c r="H13" s="5"/>
      <c r="I13" s="15">
        <v>7559.0</v>
      </c>
      <c r="J13" s="15">
        <v>253.0</v>
      </c>
      <c r="K13" s="15">
        <v>47.0</v>
      </c>
      <c r="L13" s="15">
        <v>11.0</v>
      </c>
      <c r="M13" s="15">
        <v>61.0</v>
      </c>
      <c r="N13" s="15">
        <v>31.99082</v>
      </c>
      <c r="O13" s="2"/>
      <c r="P13" s="16" t="b">
        <f t="shared" ref="P13:R13" si="12">C13=K13</f>
        <v>1</v>
      </c>
      <c r="Q13" s="16" t="b">
        <f t="shared" si="12"/>
        <v>1</v>
      </c>
      <c r="R13" s="16" t="b">
        <f t="shared" si="12"/>
        <v>1</v>
      </c>
      <c r="S13" s="17">
        <f t="shared" si="3"/>
        <v>253</v>
      </c>
      <c r="T13" s="18">
        <f t="shared" si="4"/>
        <v>6.513227857</v>
      </c>
      <c r="U13" s="8"/>
      <c r="V13" s="8"/>
      <c r="W13" s="2"/>
      <c r="X13" s="2"/>
      <c r="Y13" s="2"/>
      <c r="Z13" s="2"/>
      <c r="AA13" s="2"/>
      <c r="AB13" s="2"/>
      <c r="AC13" s="2"/>
    </row>
    <row r="14">
      <c r="A14" s="15">
        <v>7560.0</v>
      </c>
      <c r="B14" s="15">
        <v>671.0</v>
      </c>
      <c r="C14" s="15">
        <v>44.0</v>
      </c>
      <c r="D14" s="15">
        <v>377.0</v>
      </c>
      <c r="E14" s="15">
        <v>422.0</v>
      </c>
      <c r="F14" s="15">
        <v>550.9349</v>
      </c>
      <c r="G14" s="15"/>
      <c r="H14" s="5"/>
      <c r="I14" s="15">
        <v>7560.0</v>
      </c>
      <c r="J14" s="15">
        <v>671.0</v>
      </c>
      <c r="K14" s="15">
        <v>44.0</v>
      </c>
      <c r="L14" s="15">
        <v>377.0</v>
      </c>
      <c r="M14" s="15">
        <v>422.0</v>
      </c>
      <c r="N14" s="15">
        <v>42.07821</v>
      </c>
      <c r="O14" s="2"/>
      <c r="P14" s="16" t="b">
        <f t="shared" ref="P14:R14" si="13">C14=K14</f>
        <v>1</v>
      </c>
      <c r="Q14" s="16" t="b">
        <f t="shared" si="13"/>
        <v>1</v>
      </c>
      <c r="R14" s="16" t="b">
        <f t="shared" si="13"/>
        <v>1</v>
      </c>
      <c r="S14" s="17">
        <f t="shared" si="3"/>
        <v>671</v>
      </c>
      <c r="T14" s="18">
        <f t="shared" si="4"/>
        <v>13.09311637</v>
      </c>
      <c r="U14" s="8"/>
      <c r="V14" s="8"/>
      <c r="W14" s="2"/>
      <c r="X14" s="2"/>
      <c r="Y14" s="2"/>
      <c r="Z14" s="2"/>
      <c r="AA14" s="2"/>
      <c r="AB14" s="2"/>
      <c r="AC14" s="2"/>
    </row>
    <row r="15">
      <c r="A15" s="15">
        <v>7561.0</v>
      </c>
      <c r="B15" s="15">
        <v>295.0</v>
      </c>
      <c r="C15" s="15">
        <v>44.0</v>
      </c>
      <c r="D15" s="15">
        <v>82.0</v>
      </c>
      <c r="E15" s="15">
        <v>121.0</v>
      </c>
      <c r="F15" s="15">
        <v>266.7651</v>
      </c>
      <c r="G15" s="15"/>
      <c r="H15" s="5"/>
      <c r="I15" s="15">
        <v>7561.0</v>
      </c>
      <c r="J15" s="15">
        <v>295.0</v>
      </c>
      <c r="K15" s="15">
        <v>44.0</v>
      </c>
      <c r="L15" s="15">
        <v>82.0</v>
      </c>
      <c r="M15" s="15">
        <v>121.0</v>
      </c>
      <c r="N15" s="15">
        <v>32.23241</v>
      </c>
      <c r="O15" s="2"/>
      <c r="P15" s="16" t="b">
        <f t="shared" ref="P15:R15" si="14">C15=K15</f>
        <v>1</v>
      </c>
      <c r="Q15" s="16" t="b">
        <f t="shared" si="14"/>
        <v>1</v>
      </c>
      <c r="R15" s="16" t="b">
        <f t="shared" si="14"/>
        <v>1</v>
      </c>
      <c r="S15" s="17">
        <f t="shared" si="3"/>
        <v>295</v>
      </c>
      <c r="T15" s="18">
        <f t="shared" si="4"/>
        <v>8.276300159</v>
      </c>
      <c r="U15" s="8"/>
      <c r="V15" s="8"/>
      <c r="W15" s="2"/>
      <c r="X15" s="2"/>
      <c r="Y15" s="2"/>
      <c r="Z15" s="2"/>
      <c r="AA15" s="2"/>
      <c r="AB15" s="2"/>
      <c r="AC15" s="2"/>
    </row>
    <row r="16">
      <c r="A16" s="15">
        <v>7562.0</v>
      </c>
      <c r="B16" s="15">
        <v>537.0</v>
      </c>
      <c r="C16" s="15">
        <v>50.0</v>
      </c>
      <c r="D16" s="15">
        <v>62.0</v>
      </c>
      <c r="E16" s="15">
        <v>104.0</v>
      </c>
      <c r="F16" s="15">
        <v>445.5744</v>
      </c>
      <c r="G16" s="15"/>
      <c r="H16" s="5"/>
      <c r="I16" s="15">
        <v>7562.0</v>
      </c>
      <c r="J16" s="15">
        <v>537.0</v>
      </c>
      <c r="K16" s="15">
        <v>50.0</v>
      </c>
      <c r="L16" s="15">
        <v>62.0</v>
      </c>
      <c r="M16" s="15">
        <v>104.0</v>
      </c>
      <c r="N16" s="15">
        <v>38.81779</v>
      </c>
      <c r="O16" s="2"/>
      <c r="P16" s="16" t="b">
        <f t="shared" ref="P16:R16" si="15">C16=K16</f>
        <v>1</v>
      </c>
      <c r="Q16" s="16" t="b">
        <f t="shared" si="15"/>
        <v>1</v>
      </c>
      <c r="R16" s="16" t="b">
        <f t="shared" si="15"/>
        <v>1</v>
      </c>
      <c r="S16" s="17">
        <f t="shared" si="3"/>
        <v>537</v>
      </c>
      <c r="T16" s="18">
        <f t="shared" si="4"/>
        <v>11.47861329</v>
      </c>
      <c r="U16" s="8"/>
      <c r="V16" s="8"/>
      <c r="W16" s="2"/>
      <c r="X16" s="2"/>
      <c r="Y16" s="2"/>
      <c r="Z16" s="2"/>
      <c r="AA16" s="2"/>
      <c r="AB16" s="2"/>
      <c r="AC16" s="2"/>
    </row>
    <row r="17">
      <c r="A17" s="15">
        <v>7563.0</v>
      </c>
      <c r="B17" s="15">
        <v>242.0</v>
      </c>
      <c r="C17" s="15">
        <v>53.0</v>
      </c>
      <c r="D17" s="15">
        <v>54.0</v>
      </c>
      <c r="E17" s="15">
        <v>85.0</v>
      </c>
      <c r="F17" s="15">
        <v>201.788</v>
      </c>
      <c r="G17" s="15"/>
      <c r="H17" s="5"/>
      <c r="I17" s="15">
        <v>7563.0</v>
      </c>
      <c r="J17" s="15">
        <v>242.0</v>
      </c>
      <c r="K17" s="15">
        <v>53.0</v>
      </c>
      <c r="L17" s="15">
        <v>54.0</v>
      </c>
      <c r="M17" s="15">
        <v>85.0</v>
      </c>
      <c r="N17" s="15">
        <v>28.35696</v>
      </c>
      <c r="O17" s="2"/>
      <c r="P17" s="16" t="b">
        <f t="shared" ref="P17:R17" si="16">C17=K17</f>
        <v>1</v>
      </c>
      <c r="Q17" s="16" t="b">
        <f t="shared" si="16"/>
        <v>1</v>
      </c>
      <c r="R17" s="16" t="b">
        <f t="shared" si="16"/>
        <v>1</v>
      </c>
      <c r="S17" s="17">
        <f t="shared" si="3"/>
        <v>242</v>
      </c>
      <c r="T17" s="18">
        <f t="shared" si="4"/>
        <v>7.115995509</v>
      </c>
      <c r="U17" s="8"/>
      <c r="V17" s="8"/>
      <c r="W17" s="2"/>
      <c r="X17" s="2"/>
      <c r="Y17" s="2"/>
      <c r="Z17" s="2"/>
      <c r="AA17" s="2"/>
      <c r="AB17" s="2"/>
      <c r="AC17" s="2"/>
    </row>
    <row r="18">
      <c r="A18" s="15">
        <v>7564.0</v>
      </c>
      <c r="B18" s="15">
        <v>334.0</v>
      </c>
      <c r="C18" s="15">
        <v>47.0</v>
      </c>
      <c r="D18" s="15">
        <v>107.0</v>
      </c>
      <c r="E18" s="15">
        <v>146.0</v>
      </c>
      <c r="F18" s="15">
        <v>278.4837</v>
      </c>
      <c r="G18" s="15"/>
      <c r="H18" s="5"/>
      <c r="I18" s="15">
        <v>7564.0</v>
      </c>
      <c r="J18" s="15">
        <v>334.0</v>
      </c>
      <c r="K18" s="15">
        <v>47.0</v>
      </c>
      <c r="L18" s="15">
        <v>107.0</v>
      </c>
      <c r="M18" s="15">
        <v>146.0</v>
      </c>
      <c r="N18" s="15">
        <v>33.01888</v>
      </c>
      <c r="O18" s="2"/>
      <c r="P18" s="16" t="b">
        <f t="shared" ref="P18:R18" si="17">C18=K18</f>
        <v>1</v>
      </c>
      <c r="Q18" s="16" t="b">
        <f t="shared" si="17"/>
        <v>1</v>
      </c>
      <c r="R18" s="16" t="b">
        <f t="shared" si="17"/>
        <v>1</v>
      </c>
      <c r="S18" s="17">
        <f t="shared" si="3"/>
        <v>334</v>
      </c>
      <c r="T18" s="18">
        <f t="shared" si="4"/>
        <v>8.434074687</v>
      </c>
      <c r="U18" s="8"/>
      <c r="V18" s="8"/>
      <c r="W18" s="2"/>
      <c r="X18" s="2"/>
      <c r="Y18" s="2"/>
      <c r="Z18" s="2"/>
      <c r="AA18" s="2"/>
      <c r="AB18" s="2"/>
      <c r="AC18" s="2"/>
    </row>
    <row r="19">
      <c r="A19" s="15">
        <v>7565.0</v>
      </c>
      <c r="B19" s="15">
        <v>424.0</v>
      </c>
      <c r="C19" s="15">
        <v>50.0</v>
      </c>
      <c r="D19" s="15">
        <v>133.0</v>
      </c>
      <c r="E19" s="15">
        <v>182.0</v>
      </c>
      <c r="F19" s="15">
        <v>351.1226</v>
      </c>
      <c r="G19" s="15"/>
      <c r="H19" s="5"/>
      <c r="I19" s="15">
        <v>7565.0</v>
      </c>
      <c r="J19" s="15">
        <v>424.0</v>
      </c>
      <c r="K19" s="15">
        <v>50.0</v>
      </c>
      <c r="L19" s="15">
        <v>133.0</v>
      </c>
      <c r="M19" s="15">
        <v>182.0</v>
      </c>
      <c r="N19" s="15">
        <v>36.808</v>
      </c>
      <c r="O19" s="2"/>
      <c r="P19" s="16" t="b">
        <f t="shared" ref="P19:R19" si="18">C19=K19</f>
        <v>1</v>
      </c>
      <c r="Q19" s="16" t="b">
        <f t="shared" si="18"/>
        <v>1</v>
      </c>
      <c r="R19" s="16" t="b">
        <f t="shared" si="18"/>
        <v>1</v>
      </c>
      <c r="S19" s="17">
        <f t="shared" si="3"/>
        <v>424</v>
      </c>
      <c r="T19" s="18">
        <f t="shared" si="4"/>
        <v>9.539301239</v>
      </c>
      <c r="U19" s="8"/>
      <c r="V19" s="8"/>
      <c r="W19" s="2"/>
      <c r="X19" s="2"/>
      <c r="Y19" s="2"/>
      <c r="Z19" s="2"/>
      <c r="AA19" s="2"/>
      <c r="AB19" s="2"/>
      <c r="AC19" s="2"/>
    </row>
    <row r="20">
      <c r="A20" s="15">
        <v>7566.0</v>
      </c>
      <c r="B20" s="15">
        <v>307.0</v>
      </c>
      <c r="C20" s="15">
        <v>48.0</v>
      </c>
      <c r="D20" s="15">
        <v>137.0</v>
      </c>
      <c r="E20" s="15">
        <v>175.0</v>
      </c>
      <c r="F20" s="15">
        <v>256.2438</v>
      </c>
      <c r="G20" s="15"/>
      <c r="H20" s="5"/>
      <c r="I20" s="15">
        <v>7566.0</v>
      </c>
      <c r="J20" s="15">
        <v>307.0</v>
      </c>
      <c r="K20" s="15">
        <v>48.0</v>
      </c>
      <c r="L20" s="15">
        <v>137.0</v>
      </c>
      <c r="M20" s="15">
        <v>175.0</v>
      </c>
      <c r="N20" s="15">
        <v>38.56727</v>
      </c>
      <c r="O20" s="2"/>
      <c r="P20" s="16" t="b">
        <f t="shared" ref="P20:R20" si="19">C20=K20</f>
        <v>1</v>
      </c>
      <c r="Q20" s="16" t="b">
        <f t="shared" si="19"/>
        <v>1</v>
      </c>
      <c r="R20" s="16" t="b">
        <f t="shared" si="19"/>
        <v>1</v>
      </c>
      <c r="S20" s="17">
        <f t="shared" si="3"/>
        <v>307</v>
      </c>
      <c r="T20" s="18">
        <f t="shared" si="4"/>
        <v>6.644074107</v>
      </c>
      <c r="U20" s="8"/>
      <c r="V20" s="8"/>
      <c r="W20" s="2"/>
      <c r="X20" s="2"/>
      <c r="Y20" s="2"/>
      <c r="Z20" s="2"/>
      <c r="AA20" s="2"/>
      <c r="AB20" s="2"/>
      <c r="AC20" s="2"/>
    </row>
    <row r="21">
      <c r="A21" s="15">
        <v>7567.0</v>
      </c>
      <c r="B21" s="15">
        <v>368.0</v>
      </c>
      <c r="C21" s="15">
        <v>51.0</v>
      </c>
      <c r="D21" s="15">
        <v>70.0</v>
      </c>
      <c r="E21" s="15">
        <v>128.0</v>
      </c>
      <c r="F21" s="15">
        <v>304.2592</v>
      </c>
      <c r="G21" s="15"/>
      <c r="H21" s="5"/>
      <c r="I21" s="15">
        <v>7567.0</v>
      </c>
      <c r="J21" s="15">
        <v>368.0</v>
      </c>
      <c r="K21" s="15">
        <v>51.0</v>
      </c>
      <c r="L21" s="15">
        <v>70.0</v>
      </c>
      <c r="M21" s="15">
        <v>128.0</v>
      </c>
      <c r="N21" s="15">
        <v>36.29363</v>
      </c>
      <c r="O21" s="2"/>
      <c r="P21" s="16" t="b">
        <f t="shared" ref="P21:R21" si="20">C21=K21</f>
        <v>1</v>
      </c>
      <c r="Q21" s="16" t="b">
        <f t="shared" si="20"/>
        <v>1</v>
      </c>
      <c r="R21" s="16" t="b">
        <f t="shared" si="20"/>
        <v>1</v>
      </c>
      <c r="S21" s="17">
        <f t="shared" si="3"/>
        <v>368</v>
      </c>
      <c r="T21" s="18">
        <f t="shared" si="4"/>
        <v>8.383267257</v>
      </c>
      <c r="U21" s="8"/>
      <c r="V21" s="8"/>
      <c r="W21" s="2"/>
      <c r="X21" s="2"/>
      <c r="Y21" s="2"/>
      <c r="Z21" s="2"/>
      <c r="AA21" s="2"/>
      <c r="AB21" s="2"/>
      <c r="AC21" s="2"/>
    </row>
    <row r="22">
      <c r="A22" s="15">
        <v>7568.0</v>
      </c>
      <c r="B22" s="15">
        <v>476.0</v>
      </c>
      <c r="C22" s="15">
        <v>51.0</v>
      </c>
      <c r="D22" s="15">
        <v>284.0</v>
      </c>
      <c r="E22" s="15">
        <v>330.0</v>
      </c>
      <c r="F22" s="15">
        <v>396.9489</v>
      </c>
      <c r="G22" s="15"/>
      <c r="H22" s="5"/>
      <c r="I22" s="15">
        <v>7568.0</v>
      </c>
      <c r="J22" s="15">
        <v>476.0</v>
      </c>
      <c r="K22" s="15">
        <v>51.0</v>
      </c>
      <c r="L22" s="15">
        <v>284.0</v>
      </c>
      <c r="M22" s="15">
        <v>330.0</v>
      </c>
      <c r="N22" s="15">
        <v>36.79011</v>
      </c>
      <c r="O22" s="2"/>
      <c r="P22" s="16" t="b">
        <f t="shared" ref="P22:R22" si="21">C22=K22</f>
        <v>1</v>
      </c>
      <c r="Q22" s="16" t="b">
        <f t="shared" si="21"/>
        <v>1</v>
      </c>
      <c r="R22" s="16" t="b">
        <f t="shared" si="21"/>
        <v>1</v>
      </c>
      <c r="S22" s="17">
        <f t="shared" si="3"/>
        <v>476</v>
      </c>
      <c r="T22" s="18">
        <f t="shared" si="4"/>
        <v>10.78955458</v>
      </c>
      <c r="U22" s="8"/>
      <c r="V22" s="8"/>
      <c r="W22" s="2"/>
      <c r="X22" s="2"/>
      <c r="Y22" s="2"/>
      <c r="Z22" s="2"/>
      <c r="AA22" s="2"/>
      <c r="AB22" s="2"/>
      <c r="AC22" s="2"/>
    </row>
    <row r="23">
      <c r="A23" s="15">
        <v>7569.0</v>
      </c>
      <c r="B23" s="15">
        <v>293.0</v>
      </c>
      <c r="C23" s="15">
        <v>59.0</v>
      </c>
      <c r="D23" s="15">
        <v>175.0</v>
      </c>
      <c r="E23" s="15">
        <v>202.0</v>
      </c>
      <c r="F23" s="15">
        <v>242.5485</v>
      </c>
      <c r="G23" s="15"/>
      <c r="H23" s="5"/>
      <c r="I23" s="15">
        <v>7569.0</v>
      </c>
      <c r="J23" s="15">
        <v>293.0</v>
      </c>
      <c r="K23" s="15">
        <v>59.0</v>
      </c>
      <c r="L23" s="15">
        <v>175.0</v>
      </c>
      <c r="M23" s="15">
        <v>202.0</v>
      </c>
      <c r="N23" s="15">
        <v>28.3496</v>
      </c>
      <c r="O23" s="2"/>
      <c r="P23" s="16" t="b">
        <f t="shared" ref="P23:R23" si="22">C23=K23</f>
        <v>1</v>
      </c>
      <c r="Q23" s="16" t="b">
        <f t="shared" si="22"/>
        <v>1</v>
      </c>
      <c r="R23" s="16" t="b">
        <f t="shared" si="22"/>
        <v>1</v>
      </c>
      <c r="S23" s="17">
        <f t="shared" si="3"/>
        <v>293</v>
      </c>
      <c r="T23" s="18">
        <f t="shared" si="4"/>
        <v>8.55562336</v>
      </c>
      <c r="U23" s="8"/>
      <c r="V23" s="8"/>
      <c r="W23" s="2"/>
      <c r="X23" s="2"/>
      <c r="Y23" s="2"/>
      <c r="Z23" s="2"/>
      <c r="AA23" s="2"/>
      <c r="AB23" s="2"/>
      <c r="AC23" s="2"/>
    </row>
    <row r="24">
      <c r="A24" s="15">
        <v>7570.0</v>
      </c>
      <c r="B24" s="15">
        <v>311.0</v>
      </c>
      <c r="C24" s="15">
        <v>49.0</v>
      </c>
      <c r="D24" s="15">
        <v>200.0</v>
      </c>
      <c r="E24" s="15">
        <v>250.0</v>
      </c>
      <c r="F24" s="15">
        <v>259.3803</v>
      </c>
      <c r="G24" s="15"/>
      <c r="H24" s="5"/>
      <c r="I24" s="15">
        <v>7570.0</v>
      </c>
      <c r="J24" s="15">
        <v>311.0</v>
      </c>
      <c r="K24" s="15">
        <v>49.0</v>
      </c>
      <c r="L24" s="15">
        <v>200.0</v>
      </c>
      <c r="M24" s="15">
        <v>250.0</v>
      </c>
      <c r="N24" s="15">
        <v>33.26771</v>
      </c>
      <c r="O24" s="2"/>
      <c r="P24" s="16" t="b">
        <f t="shared" ref="P24:R24" si="23">C24=K24</f>
        <v>1</v>
      </c>
      <c r="Q24" s="16" t="b">
        <f t="shared" si="23"/>
        <v>1</v>
      </c>
      <c r="R24" s="16" t="b">
        <f t="shared" si="23"/>
        <v>1</v>
      </c>
      <c r="S24" s="17">
        <f t="shared" si="3"/>
        <v>311</v>
      </c>
      <c r="T24" s="18">
        <f t="shared" si="4"/>
        <v>7.796758478</v>
      </c>
      <c r="U24" s="8"/>
      <c r="V24" s="8"/>
      <c r="W24" s="2"/>
      <c r="X24" s="2"/>
      <c r="Y24" s="2"/>
      <c r="Z24" s="2"/>
      <c r="AA24" s="2"/>
      <c r="AB24" s="2"/>
      <c r="AC24" s="2"/>
    </row>
    <row r="25">
      <c r="A25" s="15">
        <v>7571.0</v>
      </c>
      <c r="B25" s="15">
        <v>541.0</v>
      </c>
      <c r="C25" s="15">
        <v>49.0</v>
      </c>
      <c r="D25" s="15">
        <v>4.0</v>
      </c>
      <c r="E25" s="15">
        <v>45.0</v>
      </c>
      <c r="F25" s="15">
        <v>462.7651</v>
      </c>
      <c r="G25" s="15"/>
      <c r="H25" s="5"/>
      <c r="I25" s="15">
        <v>7571.0</v>
      </c>
      <c r="J25" s="15">
        <v>541.0</v>
      </c>
      <c r="K25" s="15">
        <v>49.0</v>
      </c>
      <c r="L25" s="15">
        <v>4.0</v>
      </c>
      <c r="M25" s="15">
        <v>45.0</v>
      </c>
      <c r="N25" s="15">
        <v>38.27815</v>
      </c>
      <c r="O25" s="2"/>
      <c r="P25" s="16" t="b">
        <f t="shared" ref="P25:R25" si="24">C25=K25</f>
        <v>1</v>
      </c>
      <c r="Q25" s="16" t="b">
        <f t="shared" si="24"/>
        <v>1</v>
      </c>
      <c r="R25" s="16" t="b">
        <f t="shared" si="24"/>
        <v>1</v>
      </c>
      <c r="S25" s="17">
        <f t="shared" si="3"/>
        <v>541</v>
      </c>
      <c r="T25" s="18">
        <f t="shared" si="4"/>
        <v>12.08953672</v>
      </c>
      <c r="U25" s="8"/>
      <c r="V25" s="8"/>
      <c r="W25" s="2"/>
      <c r="X25" s="2"/>
      <c r="Y25" s="2"/>
      <c r="Z25" s="2"/>
      <c r="AA25" s="2"/>
      <c r="AB25" s="2"/>
      <c r="AC25" s="2"/>
    </row>
    <row r="26">
      <c r="A26" s="15">
        <v>7572.0</v>
      </c>
      <c r="B26" s="15">
        <v>722.0</v>
      </c>
      <c r="C26" s="15">
        <v>54.0</v>
      </c>
      <c r="D26" s="15">
        <v>126.0</v>
      </c>
      <c r="E26" s="15">
        <v>170.0</v>
      </c>
      <c r="F26" s="15">
        <v>597.3675</v>
      </c>
      <c r="G26" s="15"/>
      <c r="H26" s="5"/>
      <c r="I26" s="15">
        <v>7572.0</v>
      </c>
      <c r="J26" s="15">
        <v>722.0</v>
      </c>
      <c r="K26" s="15">
        <v>54.0</v>
      </c>
      <c r="L26" s="15">
        <v>126.0</v>
      </c>
      <c r="M26" s="15">
        <v>170.0</v>
      </c>
      <c r="N26" s="15">
        <v>44.47334</v>
      </c>
      <c r="O26" s="2"/>
      <c r="P26" s="16" t="b">
        <f t="shared" ref="P26:R26" si="25">C26=K26</f>
        <v>1</v>
      </c>
      <c r="Q26" s="16" t="b">
        <f t="shared" si="25"/>
        <v>1</v>
      </c>
      <c r="R26" s="16" t="b">
        <f t="shared" si="25"/>
        <v>1</v>
      </c>
      <c r="S26" s="17">
        <f t="shared" si="3"/>
        <v>722</v>
      </c>
      <c r="T26" s="18">
        <f t="shared" si="4"/>
        <v>13.43203591</v>
      </c>
      <c r="U26" s="8"/>
      <c r="V26" s="8"/>
      <c r="W26" s="2"/>
      <c r="X26" s="2"/>
      <c r="Y26" s="2"/>
      <c r="Z26" s="2"/>
      <c r="AA26" s="2"/>
      <c r="AB26" s="2"/>
      <c r="AC26" s="2"/>
    </row>
    <row r="27">
      <c r="A27" s="15">
        <v>7573.0</v>
      </c>
      <c r="B27" s="15">
        <v>444.0</v>
      </c>
      <c r="C27" s="15">
        <v>52.0</v>
      </c>
      <c r="D27" s="15">
        <v>208.0</v>
      </c>
      <c r="E27" s="15">
        <v>246.0</v>
      </c>
      <c r="F27" s="15">
        <v>368.5247</v>
      </c>
      <c r="G27" s="15"/>
      <c r="H27" s="5"/>
      <c r="I27" s="15">
        <v>7573.0</v>
      </c>
      <c r="J27" s="15">
        <v>444.0</v>
      </c>
      <c r="K27" s="15">
        <v>52.0</v>
      </c>
      <c r="L27" s="15">
        <v>208.0</v>
      </c>
      <c r="M27" s="15">
        <v>246.0</v>
      </c>
      <c r="N27" s="15">
        <v>34.97574</v>
      </c>
      <c r="O27" s="2"/>
      <c r="P27" s="16" t="b">
        <f t="shared" ref="P27:R27" si="26">C27=K27</f>
        <v>1</v>
      </c>
      <c r="Q27" s="16" t="b">
        <f t="shared" si="26"/>
        <v>1</v>
      </c>
      <c r="R27" s="16" t="b">
        <f t="shared" si="26"/>
        <v>1</v>
      </c>
      <c r="S27" s="17">
        <f t="shared" si="3"/>
        <v>444</v>
      </c>
      <c r="T27" s="18">
        <f t="shared" si="4"/>
        <v>10.5365805</v>
      </c>
      <c r="U27" s="8"/>
      <c r="V27" s="8"/>
      <c r="W27" s="2"/>
      <c r="X27" s="2"/>
      <c r="Y27" s="2"/>
      <c r="Z27" s="2"/>
      <c r="AA27" s="2"/>
      <c r="AB27" s="2"/>
      <c r="AC27" s="2"/>
    </row>
    <row r="28">
      <c r="A28" s="15">
        <v>7574.0</v>
      </c>
      <c r="B28" s="15">
        <v>704.0</v>
      </c>
      <c r="C28" s="15">
        <v>50.0</v>
      </c>
      <c r="D28" s="15">
        <v>356.0</v>
      </c>
      <c r="E28" s="15">
        <v>399.0</v>
      </c>
      <c r="F28" s="15">
        <v>576.388</v>
      </c>
      <c r="G28" s="15"/>
      <c r="H28" s="5"/>
      <c r="I28" s="15">
        <v>7574.0</v>
      </c>
      <c r="J28" s="15">
        <v>704.0</v>
      </c>
      <c r="K28" s="15">
        <v>50.0</v>
      </c>
      <c r="L28" s="15">
        <v>356.0</v>
      </c>
      <c r="M28" s="15">
        <v>399.0</v>
      </c>
      <c r="N28" s="15">
        <v>42.46935</v>
      </c>
      <c r="O28" s="2"/>
      <c r="P28" s="16" t="b">
        <f t="shared" ref="P28:R28" si="27">C28=K28</f>
        <v>1</v>
      </c>
      <c r="Q28" s="16" t="b">
        <f t="shared" si="27"/>
        <v>1</v>
      </c>
      <c r="R28" s="16" t="b">
        <f t="shared" si="27"/>
        <v>1</v>
      </c>
      <c r="S28" s="17">
        <f t="shared" si="3"/>
        <v>704</v>
      </c>
      <c r="T28" s="18">
        <f t="shared" si="4"/>
        <v>13.57185829</v>
      </c>
      <c r="U28" s="8"/>
      <c r="V28" s="8"/>
      <c r="W28" s="2"/>
      <c r="X28" s="2"/>
      <c r="Y28" s="2"/>
      <c r="Z28" s="2"/>
      <c r="AA28" s="2"/>
      <c r="AB28" s="2"/>
      <c r="AC28" s="2"/>
    </row>
    <row r="29">
      <c r="A29" s="15">
        <v>7575.0</v>
      </c>
      <c r="B29" s="15">
        <v>568.0</v>
      </c>
      <c r="C29" s="15">
        <v>59.0</v>
      </c>
      <c r="D29" s="15">
        <v>419.0</v>
      </c>
      <c r="E29" s="15">
        <v>467.0</v>
      </c>
      <c r="F29" s="15">
        <v>476.7466</v>
      </c>
      <c r="G29" s="15"/>
      <c r="H29" s="5"/>
      <c r="I29" s="15">
        <v>7575.0</v>
      </c>
      <c r="J29" s="15">
        <v>568.0</v>
      </c>
      <c r="K29" s="15">
        <v>59.0</v>
      </c>
      <c r="L29" s="15">
        <v>419.0</v>
      </c>
      <c r="M29" s="15">
        <v>467.0</v>
      </c>
      <c r="N29" s="15">
        <v>38.3191</v>
      </c>
      <c r="O29" s="2"/>
      <c r="P29" s="16" t="b">
        <f t="shared" ref="P29:R29" si="28">C29=K29</f>
        <v>1</v>
      </c>
      <c r="Q29" s="16" t="b">
        <f t="shared" si="28"/>
        <v>1</v>
      </c>
      <c r="R29" s="16" t="b">
        <f t="shared" si="28"/>
        <v>1</v>
      </c>
      <c r="S29" s="17">
        <f t="shared" si="3"/>
        <v>568</v>
      </c>
      <c r="T29" s="18">
        <f t="shared" si="4"/>
        <v>12.4414874</v>
      </c>
      <c r="U29" s="8"/>
      <c r="V29" s="8"/>
      <c r="W29" s="2"/>
      <c r="X29" s="2"/>
      <c r="Y29" s="2"/>
      <c r="Z29" s="2"/>
      <c r="AA29" s="2"/>
      <c r="AB29" s="2"/>
      <c r="AC29" s="2"/>
    </row>
    <row r="30">
      <c r="A30" s="15">
        <v>7576.0</v>
      </c>
      <c r="B30" s="15">
        <v>367.0</v>
      </c>
      <c r="C30" s="15">
        <v>49.0</v>
      </c>
      <c r="D30" s="15">
        <v>168.0</v>
      </c>
      <c r="E30" s="15">
        <v>206.0</v>
      </c>
      <c r="F30" s="15">
        <v>306.4371</v>
      </c>
      <c r="G30" s="15"/>
      <c r="H30" s="5"/>
      <c r="I30" s="15">
        <v>7576.0</v>
      </c>
      <c r="J30" s="15">
        <v>367.0</v>
      </c>
      <c r="K30" s="15">
        <v>49.0</v>
      </c>
      <c r="L30" s="15">
        <v>168.0</v>
      </c>
      <c r="M30" s="15">
        <v>206.0</v>
      </c>
      <c r="N30" s="15">
        <v>32.82227</v>
      </c>
      <c r="O30" s="2"/>
      <c r="P30" s="16" t="b">
        <f t="shared" ref="P30:R30" si="29">C30=K30</f>
        <v>1</v>
      </c>
      <c r="Q30" s="16" t="b">
        <f t="shared" si="29"/>
        <v>1</v>
      </c>
      <c r="R30" s="16" t="b">
        <f t="shared" si="29"/>
        <v>1</v>
      </c>
      <c r="S30" s="17">
        <f t="shared" si="3"/>
        <v>367</v>
      </c>
      <c r="T30" s="18">
        <f t="shared" si="4"/>
        <v>9.336255536</v>
      </c>
      <c r="U30" s="8"/>
      <c r="V30" s="8"/>
      <c r="W30" s="2"/>
      <c r="X30" s="2"/>
      <c r="Y30" s="2"/>
      <c r="Z30" s="2"/>
      <c r="AA30" s="2"/>
      <c r="AB30" s="2"/>
      <c r="AC30" s="2"/>
    </row>
    <row r="31">
      <c r="A31" s="15">
        <v>7577.0</v>
      </c>
      <c r="B31" s="15">
        <v>890.0</v>
      </c>
      <c r="C31" s="15">
        <v>62.0</v>
      </c>
      <c r="D31" s="15">
        <v>37.0</v>
      </c>
      <c r="E31" s="15">
        <v>82.0</v>
      </c>
      <c r="F31" s="15">
        <v>744.9348</v>
      </c>
      <c r="G31" s="15"/>
      <c r="H31" s="5"/>
      <c r="I31" s="15">
        <v>7577.0</v>
      </c>
      <c r="J31" s="15">
        <v>890.0</v>
      </c>
      <c r="K31" s="15">
        <v>62.0</v>
      </c>
      <c r="L31" s="15">
        <v>37.0</v>
      </c>
      <c r="M31" s="15">
        <v>82.0</v>
      </c>
      <c r="N31" s="15">
        <v>48.5376</v>
      </c>
      <c r="O31" s="2"/>
      <c r="P31" s="16" t="b">
        <f t="shared" ref="P31:R31" si="30">C31=K31</f>
        <v>1</v>
      </c>
      <c r="Q31" s="16" t="b">
        <f t="shared" si="30"/>
        <v>1</v>
      </c>
      <c r="R31" s="16" t="b">
        <f t="shared" si="30"/>
        <v>1</v>
      </c>
      <c r="S31" s="17">
        <f t="shared" si="3"/>
        <v>890</v>
      </c>
      <c r="T31" s="18">
        <f t="shared" si="4"/>
        <v>15.34758208</v>
      </c>
      <c r="U31" s="8"/>
      <c r="V31" s="8"/>
      <c r="W31" s="2"/>
      <c r="X31" s="2"/>
      <c r="Y31" s="2"/>
      <c r="Z31" s="2"/>
      <c r="AA31" s="2"/>
      <c r="AB31" s="2"/>
      <c r="AC31" s="2"/>
    </row>
    <row r="32">
      <c r="A32" s="15">
        <v>7578.0</v>
      </c>
      <c r="B32" s="15">
        <v>533.0</v>
      </c>
      <c r="C32" s="15">
        <v>52.0</v>
      </c>
      <c r="D32" s="15">
        <v>424.0</v>
      </c>
      <c r="E32" s="15">
        <v>471.0</v>
      </c>
      <c r="F32" s="15">
        <v>444.9239</v>
      </c>
      <c r="G32" s="15"/>
      <c r="H32" s="5"/>
      <c r="I32" s="15">
        <v>7578.0</v>
      </c>
      <c r="J32" s="15">
        <v>533.0</v>
      </c>
      <c r="K32" s="15">
        <v>52.0</v>
      </c>
      <c r="L32" s="15">
        <v>424.0</v>
      </c>
      <c r="M32" s="15">
        <v>471.0</v>
      </c>
      <c r="N32" s="15">
        <v>38.83936</v>
      </c>
      <c r="O32" s="2"/>
      <c r="P32" s="16" t="b">
        <f t="shared" ref="P32:R32" si="31">C32=K32</f>
        <v>1</v>
      </c>
      <c r="Q32" s="16" t="b">
        <f t="shared" si="31"/>
        <v>1</v>
      </c>
      <c r="R32" s="16" t="b">
        <f t="shared" si="31"/>
        <v>1</v>
      </c>
      <c r="S32" s="17">
        <f t="shared" si="3"/>
        <v>533</v>
      </c>
      <c r="T32" s="18">
        <f t="shared" si="4"/>
        <v>11.45549</v>
      </c>
      <c r="U32" s="8"/>
      <c r="V32" s="8"/>
      <c r="W32" s="2"/>
      <c r="X32" s="2"/>
      <c r="Y32" s="2"/>
      <c r="Z32" s="2"/>
      <c r="AA32" s="2"/>
      <c r="AB32" s="2"/>
      <c r="AC32" s="2"/>
    </row>
    <row r="33">
      <c r="A33" s="15">
        <v>7579.0</v>
      </c>
      <c r="B33" s="15">
        <v>407.0</v>
      </c>
      <c r="C33" s="15">
        <v>56.0</v>
      </c>
      <c r="D33" s="15">
        <v>8.0</v>
      </c>
      <c r="E33" s="15">
        <v>43.0</v>
      </c>
      <c r="F33" s="15">
        <v>336.0955</v>
      </c>
      <c r="G33" s="15"/>
      <c r="H33" s="5"/>
      <c r="I33" s="15">
        <v>7579.0</v>
      </c>
      <c r="J33" s="15">
        <v>407.0</v>
      </c>
      <c r="K33" s="15">
        <v>56.0</v>
      </c>
      <c r="L33" s="15">
        <v>8.0</v>
      </c>
      <c r="M33" s="15">
        <v>43.0</v>
      </c>
      <c r="N33" s="15">
        <v>32.31027</v>
      </c>
      <c r="O33" s="2"/>
      <c r="P33" s="16" t="b">
        <f t="shared" ref="P33:R33" si="32">C33=K33</f>
        <v>1</v>
      </c>
      <c r="Q33" s="16" t="b">
        <f t="shared" si="32"/>
        <v>1</v>
      </c>
      <c r="R33" s="16" t="b">
        <f t="shared" si="32"/>
        <v>1</v>
      </c>
      <c r="S33" s="17">
        <f t="shared" si="3"/>
        <v>407</v>
      </c>
      <c r="T33" s="18">
        <f t="shared" si="4"/>
        <v>10.40212601</v>
      </c>
      <c r="U33" s="8"/>
      <c r="V33" s="8"/>
      <c r="W33" s="2"/>
      <c r="X33" s="2"/>
      <c r="Y33" s="2"/>
      <c r="Z33" s="2"/>
      <c r="AA33" s="2"/>
      <c r="AB33" s="2"/>
      <c r="AC33" s="2"/>
    </row>
    <row r="34">
      <c r="A34" s="15">
        <v>7580.0</v>
      </c>
      <c r="B34" s="15">
        <v>601.0</v>
      </c>
      <c r="C34" s="15">
        <v>49.0</v>
      </c>
      <c r="D34" s="15">
        <v>104.0</v>
      </c>
      <c r="E34" s="15">
        <v>146.0</v>
      </c>
      <c r="F34" s="15">
        <v>493.5953</v>
      </c>
      <c r="G34" s="15"/>
      <c r="H34" s="5"/>
      <c r="I34" s="15">
        <v>7580.0</v>
      </c>
      <c r="J34" s="15">
        <v>601.0</v>
      </c>
      <c r="K34" s="15">
        <v>49.0</v>
      </c>
      <c r="L34" s="15">
        <v>104.0</v>
      </c>
      <c r="M34" s="15">
        <v>146.0</v>
      </c>
      <c r="N34" s="15">
        <v>39.82032</v>
      </c>
      <c r="O34" s="2"/>
      <c r="P34" s="16" t="b">
        <f t="shared" ref="P34:R34" si="33">C34=K34</f>
        <v>1</v>
      </c>
      <c r="Q34" s="16" t="b">
        <f t="shared" si="33"/>
        <v>1</v>
      </c>
      <c r="R34" s="16" t="b">
        <f t="shared" si="33"/>
        <v>1</v>
      </c>
      <c r="S34" s="17">
        <f t="shared" si="3"/>
        <v>601</v>
      </c>
      <c r="T34" s="18">
        <f t="shared" si="4"/>
        <v>12.39556337</v>
      </c>
      <c r="U34" s="8"/>
      <c r="V34" s="8"/>
      <c r="W34" s="2"/>
      <c r="X34" s="2"/>
      <c r="Y34" s="2"/>
      <c r="Z34" s="2"/>
      <c r="AA34" s="2"/>
      <c r="AB34" s="2"/>
      <c r="AC34" s="2"/>
    </row>
    <row r="35">
      <c r="A35" s="15">
        <v>7581.0</v>
      </c>
      <c r="B35" s="15">
        <v>648.0</v>
      </c>
      <c r="C35" s="15">
        <v>51.0</v>
      </c>
      <c r="D35" s="15">
        <v>24.0</v>
      </c>
      <c r="E35" s="15">
        <v>77.0</v>
      </c>
      <c r="F35" s="15">
        <v>536.0071</v>
      </c>
      <c r="G35" s="15"/>
      <c r="H35" s="5"/>
      <c r="I35" s="15">
        <v>7581.0</v>
      </c>
      <c r="J35" s="15">
        <v>648.0</v>
      </c>
      <c r="K35" s="15">
        <v>51.0</v>
      </c>
      <c r="L35" s="15">
        <v>24.0</v>
      </c>
      <c r="M35" s="15">
        <v>77.0</v>
      </c>
      <c r="N35" s="15">
        <v>44.54282</v>
      </c>
      <c r="O35" s="2"/>
      <c r="P35" s="16" t="b">
        <f t="shared" ref="P35:R35" si="34">C35=K35</f>
        <v>1</v>
      </c>
      <c r="Q35" s="16" t="b">
        <f t="shared" si="34"/>
        <v>1</v>
      </c>
      <c r="R35" s="16" t="b">
        <f t="shared" si="34"/>
        <v>1</v>
      </c>
      <c r="S35" s="17">
        <f t="shared" si="3"/>
        <v>648</v>
      </c>
      <c r="T35" s="18">
        <f t="shared" si="4"/>
        <v>12.03352415</v>
      </c>
      <c r="U35" s="8"/>
      <c r="V35" s="8"/>
      <c r="W35" s="2"/>
      <c r="X35" s="2"/>
      <c r="Y35" s="2"/>
      <c r="Z35" s="2"/>
      <c r="AA35" s="2"/>
      <c r="AB35" s="2"/>
      <c r="AC35" s="2"/>
    </row>
    <row r="36">
      <c r="A36" s="15">
        <v>7582.0</v>
      </c>
      <c r="B36" s="15">
        <v>476.0</v>
      </c>
      <c r="C36" s="15">
        <v>50.0</v>
      </c>
      <c r="D36" s="15">
        <v>3.0</v>
      </c>
      <c r="E36" s="15">
        <v>44.0</v>
      </c>
      <c r="F36" s="15">
        <v>391.0179</v>
      </c>
      <c r="G36" s="15"/>
      <c r="H36" s="5"/>
      <c r="I36" s="15">
        <v>7582.0</v>
      </c>
      <c r="J36" s="15">
        <v>476.0</v>
      </c>
      <c r="K36" s="15">
        <v>50.0</v>
      </c>
      <c r="L36" s="15">
        <v>3.0</v>
      </c>
      <c r="M36" s="15">
        <v>44.0</v>
      </c>
      <c r="N36" s="15">
        <v>36.05395</v>
      </c>
      <c r="O36" s="2"/>
      <c r="P36" s="16" t="b">
        <f t="shared" ref="P36:R36" si="35">C36=K36</f>
        <v>1</v>
      </c>
      <c r="Q36" s="16" t="b">
        <f t="shared" si="35"/>
        <v>1</v>
      </c>
      <c r="R36" s="16" t="b">
        <f t="shared" si="35"/>
        <v>1</v>
      </c>
      <c r="S36" s="17">
        <f t="shared" si="3"/>
        <v>476</v>
      </c>
      <c r="T36" s="18">
        <f t="shared" si="4"/>
        <v>10.84535536</v>
      </c>
      <c r="U36" s="8"/>
      <c r="V36" s="8"/>
      <c r="W36" s="2"/>
      <c r="X36" s="2"/>
      <c r="Y36" s="2"/>
      <c r="Z36" s="2"/>
      <c r="AA36" s="2"/>
      <c r="AB36" s="2"/>
      <c r="AC36" s="2"/>
    </row>
    <row r="37">
      <c r="A37" s="15">
        <v>7583.0</v>
      </c>
      <c r="B37" s="15">
        <v>754.0</v>
      </c>
      <c r="C37" s="15">
        <v>50.0</v>
      </c>
      <c r="D37" s="15">
        <v>268.0</v>
      </c>
      <c r="E37" s="15">
        <v>305.0</v>
      </c>
      <c r="F37" s="15">
        <v>644.4556</v>
      </c>
      <c r="G37" s="15"/>
      <c r="H37" s="5"/>
      <c r="I37" s="15">
        <v>7583.0</v>
      </c>
      <c r="J37" s="15">
        <v>754.0</v>
      </c>
      <c r="K37" s="15">
        <v>50.0</v>
      </c>
      <c r="L37" s="15">
        <v>268.0</v>
      </c>
      <c r="M37" s="15">
        <v>305.0</v>
      </c>
      <c r="N37" s="15">
        <v>44.01699</v>
      </c>
      <c r="O37" s="2"/>
      <c r="P37" s="16" t="b">
        <f t="shared" ref="P37:R37" si="36">C37=K37</f>
        <v>1</v>
      </c>
      <c r="Q37" s="16" t="b">
        <f t="shared" si="36"/>
        <v>1</v>
      </c>
      <c r="R37" s="16" t="b">
        <f t="shared" si="36"/>
        <v>1</v>
      </c>
      <c r="S37" s="17">
        <f t="shared" si="3"/>
        <v>754</v>
      </c>
      <c r="T37" s="18">
        <f t="shared" si="4"/>
        <v>14.64106473</v>
      </c>
      <c r="U37" s="8"/>
      <c r="V37" s="8"/>
      <c r="W37" s="2"/>
      <c r="X37" s="2"/>
      <c r="Y37" s="2"/>
      <c r="Z37" s="2"/>
      <c r="AA37" s="2"/>
      <c r="AB37" s="2"/>
      <c r="AC37" s="2"/>
    </row>
    <row r="38">
      <c r="A38" s="15">
        <v>7584.0</v>
      </c>
      <c r="B38" s="15">
        <v>725.0</v>
      </c>
      <c r="C38" s="15">
        <v>40.0</v>
      </c>
      <c r="D38" s="15">
        <v>404.0</v>
      </c>
      <c r="E38" s="15">
        <v>452.0</v>
      </c>
      <c r="F38" s="15">
        <v>594.4442</v>
      </c>
      <c r="G38" s="15"/>
      <c r="H38" s="5"/>
      <c r="I38" s="15">
        <v>7584.0</v>
      </c>
      <c r="J38" s="15">
        <v>725.0</v>
      </c>
      <c r="K38" s="15">
        <v>40.0</v>
      </c>
      <c r="L38" s="15">
        <v>404.0</v>
      </c>
      <c r="M38" s="15">
        <v>452.0</v>
      </c>
      <c r="N38" s="15">
        <v>44.62368</v>
      </c>
      <c r="O38" s="2"/>
      <c r="P38" s="16" t="b">
        <f t="shared" ref="P38:R38" si="37">C38=K38</f>
        <v>1</v>
      </c>
      <c r="Q38" s="16" t="b">
        <f t="shared" si="37"/>
        <v>1</v>
      </c>
      <c r="R38" s="16" t="b">
        <f t="shared" si="37"/>
        <v>1</v>
      </c>
      <c r="S38" s="17">
        <f t="shared" si="3"/>
        <v>725</v>
      </c>
      <c r="T38" s="18">
        <f t="shared" si="4"/>
        <v>13.32127247</v>
      </c>
      <c r="U38" s="8"/>
      <c r="V38" s="8"/>
      <c r="W38" s="2"/>
      <c r="X38" s="2"/>
      <c r="Y38" s="2"/>
      <c r="Z38" s="2"/>
      <c r="AA38" s="2"/>
      <c r="AB38" s="2"/>
      <c r="AC38" s="2"/>
    </row>
    <row r="39">
      <c r="A39" s="15">
        <v>7585.0</v>
      </c>
      <c r="B39" s="15">
        <v>339.0</v>
      </c>
      <c r="C39" s="15">
        <v>51.0</v>
      </c>
      <c r="D39" s="15">
        <v>104.0</v>
      </c>
      <c r="E39" s="15">
        <v>148.0</v>
      </c>
      <c r="F39" s="15">
        <v>275.6265</v>
      </c>
      <c r="G39" s="15"/>
      <c r="H39" s="5"/>
      <c r="I39" s="15">
        <v>7585.0</v>
      </c>
      <c r="J39" s="15">
        <v>339.0</v>
      </c>
      <c r="K39" s="15">
        <v>51.0</v>
      </c>
      <c r="L39" s="15">
        <v>104.0</v>
      </c>
      <c r="M39" s="15">
        <v>148.0</v>
      </c>
      <c r="N39" s="15">
        <v>34.78119</v>
      </c>
      <c r="O39" s="2"/>
      <c r="P39" s="16" t="b">
        <f t="shared" ref="P39:R39" si="38">C39=K39</f>
        <v>1</v>
      </c>
      <c r="Q39" s="16" t="b">
        <f t="shared" si="38"/>
        <v>1</v>
      </c>
      <c r="R39" s="16" t="b">
        <f t="shared" si="38"/>
        <v>1</v>
      </c>
      <c r="S39" s="17">
        <f t="shared" si="3"/>
        <v>339</v>
      </c>
      <c r="T39" s="18">
        <f t="shared" si="4"/>
        <v>7.924585099</v>
      </c>
      <c r="U39" s="8"/>
      <c r="V39" s="8"/>
      <c r="W39" s="2"/>
      <c r="X39" s="2"/>
      <c r="Y39" s="2"/>
      <c r="Z39" s="2"/>
      <c r="AA39" s="2"/>
      <c r="AB39" s="2"/>
      <c r="AC39" s="2"/>
    </row>
    <row r="40">
      <c r="A40" s="15">
        <v>7586.0</v>
      </c>
      <c r="B40" s="15">
        <v>396.0</v>
      </c>
      <c r="C40" s="15">
        <v>33.0</v>
      </c>
      <c r="D40" s="15">
        <v>141.0</v>
      </c>
      <c r="E40" s="15">
        <v>169.0</v>
      </c>
      <c r="F40" s="15">
        <v>331.6692</v>
      </c>
      <c r="G40" s="15"/>
      <c r="H40" s="5"/>
      <c r="I40" s="15">
        <v>7586.0</v>
      </c>
      <c r="J40" s="15">
        <v>396.0</v>
      </c>
      <c r="K40" s="15">
        <v>33.0</v>
      </c>
      <c r="L40" s="15">
        <v>141.0</v>
      </c>
      <c r="M40" s="15">
        <v>169.0</v>
      </c>
      <c r="N40" s="15">
        <v>29.91411</v>
      </c>
      <c r="O40" s="2"/>
      <c r="P40" s="16" t="b">
        <f t="shared" ref="P40:R40" si="39">C40=K40</f>
        <v>1</v>
      </c>
      <c r="Q40" s="16" t="b">
        <f t="shared" si="39"/>
        <v>1</v>
      </c>
      <c r="R40" s="16" t="b">
        <f t="shared" si="39"/>
        <v>1</v>
      </c>
      <c r="S40" s="17">
        <f t="shared" si="3"/>
        <v>396</v>
      </c>
      <c r="T40" s="18">
        <f t="shared" si="4"/>
        <v>11.08738318</v>
      </c>
      <c r="U40" s="8"/>
      <c r="V40" s="8"/>
      <c r="W40" s="2"/>
      <c r="X40" s="2"/>
      <c r="Y40" s="2"/>
      <c r="Z40" s="2"/>
      <c r="AA40" s="2"/>
      <c r="AB40" s="2"/>
      <c r="AC40" s="2"/>
    </row>
    <row r="41">
      <c r="A41" s="15">
        <v>7587.0</v>
      </c>
      <c r="B41" s="15">
        <v>442.0</v>
      </c>
      <c r="C41" s="15">
        <v>41.0</v>
      </c>
      <c r="D41" s="15">
        <v>206.0</v>
      </c>
      <c r="E41" s="15">
        <v>254.0</v>
      </c>
      <c r="F41" s="15">
        <v>360.7192</v>
      </c>
      <c r="G41" s="15"/>
      <c r="H41" s="5"/>
      <c r="I41" s="15">
        <v>7587.0</v>
      </c>
      <c r="J41" s="15">
        <v>442.0</v>
      </c>
      <c r="K41" s="15">
        <v>41.0</v>
      </c>
      <c r="L41" s="15">
        <v>206.0</v>
      </c>
      <c r="M41" s="15">
        <v>254.0</v>
      </c>
      <c r="N41" s="15">
        <v>36.14317</v>
      </c>
      <c r="O41" s="2"/>
      <c r="P41" s="16" t="b">
        <f t="shared" ref="P41:R41" si="40">C41=K41</f>
        <v>1</v>
      </c>
      <c r="Q41" s="16" t="b">
        <f t="shared" si="40"/>
        <v>1</v>
      </c>
      <c r="R41" s="16" t="b">
        <f t="shared" si="40"/>
        <v>1</v>
      </c>
      <c r="S41" s="17">
        <f t="shared" si="3"/>
        <v>442</v>
      </c>
      <c r="T41" s="18">
        <f t="shared" si="4"/>
        <v>9.980286732</v>
      </c>
      <c r="U41" s="8"/>
      <c r="V41" s="8"/>
      <c r="W41" s="2"/>
      <c r="X41" s="2"/>
      <c r="Y41" s="2"/>
      <c r="Z41" s="2"/>
      <c r="AA41" s="2"/>
      <c r="AB41" s="2"/>
      <c r="AC41" s="2"/>
    </row>
    <row r="42">
      <c r="A42" s="15">
        <v>7588.0</v>
      </c>
      <c r="B42" s="15">
        <v>513.0</v>
      </c>
      <c r="C42" s="15">
        <v>49.0</v>
      </c>
      <c r="D42" s="15">
        <v>150.0</v>
      </c>
      <c r="E42" s="15">
        <v>192.0</v>
      </c>
      <c r="F42" s="15">
        <v>418.1896</v>
      </c>
      <c r="G42" s="15"/>
      <c r="H42" s="5"/>
      <c r="I42" s="15">
        <v>7588.0</v>
      </c>
      <c r="J42" s="15">
        <v>513.0</v>
      </c>
      <c r="K42" s="15">
        <v>49.0</v>
      </c>
      <c r="L42" s="15">
        <v>150.0</v>
      </c>
      <c r="M42" s="15">
        <v>192.0</v>
      </c>
      <c r="N42" s="15">
        <v>38.32704</v>
      </c>
      <c r="O42" s="2"/>
      <c r="P42" s="16" t="b">
        <f t="shared" ref="P42:R42" si="41">C42=K42</f>
        <v>1</v>
      </c>
      <c r="Q42" s="16" t="b">
        <f t="shared" si="41"/>
        <v>1</v>
      </c>
      <c r="R42" s="16" t="b">
        <f t="shared" si="41"/>
        <v>1</v>
      </c>
      <c r="S42" s="17">
        <f t="shared" si="3"/>
        <v>513</v>
      </c>
      <c r="T42" s="18">
        <f t="shared" si="4"/>
        <v>10.91108523</v>
      </c>
      <c r="U42" s="8"/>
      <c r="V42" s="8"/>
      <c r="W42" s="2"/>
      <c r="X42" s="2"/>
      <c r="Y42" s="2"/>
      <c r="Z42" s="2"/>
      <c r="AA42" s="2"/>
      <c r="AB42" s="2"/>
      <c r="AC42" s="2"/>
    </row>
    <row r="43">
      <c r="A43" s="15">
        <v>7589.0</v>
      </c>
      <c r="B43" s="15">
        <v>741.0</v>
      </c>
      <c r="C43" s="15">
        <v>51.0</v>
      </c>
      <c r="D43" s="15">
        <v>262.0</v>
      </c>
      <c r="E43" s="15">
        <v>320.0</v>
      </c>
      <c r="F43" s="15">
        <v>608.7473</v>
      </c>
      <c r="G43" s="15"/>
      <c r="H43" s="5"/>
      <c r="I43" s="15">
        <v>7589.0</v>
      </c>
      <c r="J43" s="15">
        <v>741.0</v>
      </c>
      <c r="K43" s="15">
        <v>51.0</v>
      </c>
      <c r="L43" s="15">
        <v>262.0</v>
      </c>
      <c r="M43" s="15">
        <v>320.0</v>
      </c>
      <c r="N43" s="15">
        <v>46.81113</v>
      </c>
      <c r="O43" s="2"/>
      <c r="P43" s="16" t="b">
        <f t="shared" ref="P43:R43" si="42">C43=K43</f>
        <v>1</v>
      </c>
      <c r="Q43" s="16" t="b">
        <f t="shared" si="42"/>
        <v>1</v>
      </c>
      <c r="R43" s="16" t="b">
        <f t="shared" si="42"/>
        <v>1</v>
      </c>
      <c r="S43" s="17">
        <f t="shared" si="3"/>
        <v>741</v>
      </c>
      <c r="T43" s="18">
        <f t="shared" si="4"/>
        <v>13.00432824</v>
      </c>
      <c r="U43" s="8"/>
      <c r="V43" s="8"/>
      <c r="W43" s="2"/>
      <c r="X43" s="2"/>
      <c r="Y43" s="2"/>
      <c r="Z43" s="2"/>
      <c r="AA43" s="2"/>
      <c r="AB43" s="2"/>
      <c r="AC43" s="2"/>
    </row>
    <row r="44">
      <c r="A44" s="15">
        <v>7590.0</v>
      </c>
      <c r="B44" s="15">
        <v>536.0</v>
      </c>
      <c r="C44" s="15">
        <v>55.0</v>
      </c>
      <c r="D44" s="15">
        <v>311.0</v>
      </c>
      <c r="E44" s="15">
        <v>341.0</v>
      </c>
      <c r="F44" s="15">
        <v>437.4836</v>
      </c>
      <c r="G44" s="15"/>
      <c r="H44" s="5"/>
      <c r="I44" s="15">
        <v>7590.0</v>
      </c>
      <c r="J44" s="15">
        <v>536.0</v>
      </c>
      <c r="K44" s="15">
        <v>55.0</v>
      </c>
      <c r="L44" s="15">
        <v>311.0</v>
      </c>
      <c r="M44" s="15">
        <v>341.0</v>
      </c>
      <c r="N44" s="15">
        <v>35.88199</v>
      </c>
      <c r="O44" s="2"/>
      <c r="P44" s="16" t="b">
        <f t="shared" ref="P44:R44" si="43">C44=K44</f>
        <v>1</v>
      </c>
      <c r="Q44" s="16" t="b">
        <f t="shared" si="43"/>
        <v>1</v>
      </c>
      <c r="R44" s="16" t="b">
        <f t="shared" si="43"/>
        <v>1</v>
      </c>
      <c r="S44" s="17">
        <f t="shared" si="3"/>
        <v>536</v>
      </c>
      <c r="T44" s="18">
        <f t="shared" si="4"/>
        <v>12.19228922</v>
      </c>
      <c r="U44" s="8"/>
      <c r="V44" s="8"/>
      <c r="W44" s="2"/>
      <c r="X44" s="2"/>
      <c r="Y44" s="2"/>
      <c r="Z44" s="2"/>
      <c r="AA44" s="2"/>
      <c r="AB44" s="2"/>
      <c r="AC44" s="2"/>
    </row>
    <row r="45">
      <c r="A45" s="15">
        <v>7591.0</v>
      </c>
      <c r="B45" s="15">
        <v>572.0</v>
      </c>
      <c r="C45" s="15">
        <v>46.0</v>
      </c>
      <c r="D45" s="15">
        <v>196.0</v>
      </c>
      <c r="E45" s="15">
        <v>244.0</v>
      </c>
      <c r="F45" s="15">
        <v>473.2459</v>
      </c>
      <c r="G45" s="15"/>
      <c r="H45" s="5"/>
      <c r="I45" s="15">
        <v>7591.0</v>
      </c>
      <c r="J45" s="15">
        <v>572.0</v>
      </c>
      <c r="K45" s="15">
        <v>46.0</v>
      </c>
      <c r="L45" s="15">
        <v>196.0</v>
      </c>
      <c r="M45" s="15">
        <v>244.0</v>
      </c>
      <c r="N45" s="15">
        <v>40.68454</v>
      </c>
      <c r="O45" s="2"/>
      <c r="P45" s="16" t="b">
        <f t="shared" ref="P45:R45" si="44">C45=K45</f>
        <v>1</v>
      </c>
      <c r="Q45" s="16" t="b">
        <f t="shared" si="44"/>
        <v>1</v>
      </c>
      <c r="R45" s="16" t="b">
        <f t="shared" si="44"/>
        <v>1</v>
      </c>
      <c r="S45" s="17">
        <f t="shared" si="3"/>
        <v>572</v>
      </c>
      <c r="T45" s="18">
        <f t="shared" si="4"/>
        <v>11.63208187</v>
      </c>
      <c r="U45" s="8"/>
      <c r="V45" s="8"/>
      <c r="W45" s="2"/>
      <c r="X45" s="2"/>
      <c r="Y45" s="2"/>
      <c r="Z45" s="2"/>
      <c r="AA45" s="2"/>
      <c r="AB45" s="2"/>
      <c r="AC45" s="2"/>
    </row>
    <row r="46">
      <c r="A46" s="15">
        <v>7592.0</v>
      </c>
      <c r="B46" s="15">
        <v>464.0</v>
      </c>
      <c r="C46" s="15">
        <v>54.0</v>
      </c>
      <c r="D46" s="15">
        <v>328.0</v>
      </c>
      <c r="E46" s="15">
        <v>378.0</v>
      </c>
      <c r="F46" s="15">
        <v>378.8345</v>
      </c>
      <c r="G46" s="15"/>
      <c r="H46" s="5"/>
      <c r="I46" s="15">
        <v>7592.0</v>
      </c>
      <c r="J46" s="15">
        <v>464.0</v>
      </c>
      <c r="K46" s="15">
        <v>54.0</v>
      </c>
      <c r="L46" s="15">
        <v>328.0</v>
      </c>
      <c r="M46" s="15">
        <v>378.0</v>
      </c>
      <c r="N46" s="15">
        <v>37.61664</v>
      </c>
      <c r="O46" s="2"/>
      <c r="P46" s="16" t="b">
        <f t="shared" ref="P46:R46" si="45">C46=K46</f>
        <v>1</v>
      </c>
      <c r="Q46" s="16" t="b">
        <f t="shared" si="45"/>
        <v>1</v>
      </c>
      <c r="R46" s="16" t="b">
        <f t="shared" si="45"/>
        <v>1</v>
      </c>
      <c r="S46" s="17">
        <f t="shared" si="3"/>
        <v>464</v>
      </c>
      <c r="T46" s="18">
        <f t="shared" si="4"/>
        <v>10.07092872</v>
      </c>
      <c r="U46" s="8"/>
      <c r="V46" s="8"/>
      <c r="W46" s="2"/>
      <c r="X46" s="2"/>
      <c r="Y46" s="2"/>
      <c r="Z46" s="2"/>
      <c r="AA46" s="2"/>
      <c r="AB46" s="2"/>
      <c r="AC46" s="2"/>
    </row>
    <row r="47">
      <c r="A47" s="15">
        <v>7593.0</v>
      </c>
      <c r="B47" s="15">
        <v>409.0</v>
      </c>
      <c r="C47" s="15">
        <v>50.0</v>
      </c>
      <c r="D47" s="15">
        <v>192.0</v>
      </c>
      <c r="E47" s="15">
        <v>237.0</v>
      </c>
      <c r="F47" s="15">
        <v>345.3427</v>
      </c>
      <c r="G47" s="15"/>
      <c r="H47" s="5"/>
      <c r="I47" s="15">
        <v>7593.0</v>
      </c>
      <c r="J47" s="15">
        <v>409.0</v>
      </c>
      <c r="K47" s="15">
        <v>50.0</v>
      </c>
      <c r="L47" s="15">
        <v>192.0</v>
      </c>
      <c r="M47" s="15">
        <v>237.0</v>
      </c>
      <c r="N47" s="15">
        <v>36.03968</v>
      </c>
      <c r="O47" s="2"/>
      <c r="P47" s="16" t="b">
        <f t="shared" ref="P47:R47" si="46">C47=K47</f>
        <v>1</v>
      </c>
      <c r="Q47" s="16" t="b">
        <f t="shared" si="46"/>
        <v>1</v>
      </c>
      <c r="R47" s="16" t="b">
        <f t="shared" si="46"/>
        <v>1</v>
      </c>
      <c r="S47" s="17">
        <f t="shared" si="3"/>
        <v>409</v>
      </c>
      <c r="T47" s="18">
        <f t="shared" si="4"/>
        <v>9.582290964</v>
      </c>
      <c r="U47" s="8"/>
      <c r="V47" s="8"/>
      <c r="W47" s="2"/>
      <c r="X47" s="2"/>
      <c r="Y47" s="2"/>
      <c r="Z47" s="2"/>
      <c r="AA47" s="2"/>
      <c r="AB47" s="2"/>
      <c r="AC47" s="2"/>
    </row>
    <row r="48">
      <c r="A48" s="15">
        <v>7594.0</v>
      </c>
      <c r="B48" s="15">
        <v>565.0</v>
      </c>
      <c r="C48" s="15">
        <v>51.0</v>
      </c>
      <c r="D48" s="15">
        <v>506.0</v>
      </c>
      <c r="E48" s="15">
        <v>557.0</v>
      </c>
      <c r="F48" s="15">
        <v>459.8404</v>
      </c>
      <c r="G48" s="15"/>
      <c r="H48" s="5"/>
      <c r="I48" s="15">
        <v>7594.0</v>
      </c>
      <c r="J48" s="15">
        <v>565.0</v>
      </c>
      <c r="K48" s="15">
        <v>51.0</v>
      </c>
      <c r="L48" s="15">
        <v>506.0</v>
      </c>
      <c r="M48" s="15">
        <v>557.0</v>
      </c>
      <c r="N48" s="15">
        <v>40.32512</v>
      </c>
      <c r="O48" s="2"/>
      <c r="P48" s="16" t="b">
        <f t="shared" ref="P48:R48" si="47">C48=K48</f>
        <v>1</v>
      </c>
      <c r="Q48" s="16" t="b">
        <f t="shared" si="47"/>
        <v>1</v>
      </c>
      <c r="R48" s="16" t="b">
        <f t="shared" si="47"/>
        <v>1</v>
      </c>
      <c r="S48" s="17">
        <f t="shared" si="3"/>
        <v>565</v>
      </c>
      <c r="T48" s="18">
        <f t="shared" si="4"/>
        <v>11.40332378</v>
      </c>
      <c r="U48" s="8"/>
      <c r="V48" s="8"/>
      <c r="W48" s="2"/>
      <c r="X48" s="2"/>
      <c r="Y48" s="2"/>
      <c r="Z48" s="2"/>
      <c r="AA48" s="2"/>
      <c r="AB48" s="2"/>
      <c r="AC48" s="2"/>
    </row>
    <row r="49">
      <c r="A49" s="15">
        <v>7595.0</v>
      </c>
      <c r="B49" s="15">
        <v>645.0</v>
      </c>
      <c r="C49" s="15">
        <v>53.0</v>
      </c>
      <c r="D49" s="15">
        <v>541.0</v>
      </c>
      <c r="E49" s="15">
        <v>581.0</v>
      </c>
      <c r="F49" s="15">
        <v>528.0033</v>
      </c>
      <c r="G49" s="15"/>
      <c r="H49" s="5"/>
      <c r="I49" s="15">
        <v>7595.0</v>
      </c>
      <c r="J49" s="15">
        <v>645.0</v>
      </c>
      <c r="K49" s="15">
        <v>53.0</v>
      </c>
      <c r="L49" s="15">
        <v>541.0</v>
      </c>
      <c r="M49" s="15">
        <v>581.0</v>
      </c>
      <c r="N49" s="15">
        <v>40.83427</v>
      </c>
      <c r="O49" s="2"/>
      <c r="P49" s="16" t="b">
        <f t="shared" ref="P49:R49" si="48">C49=K49</f>
        <v>1</v>
      </c>
      <c r="Q49" s="16" t="b">
        <f t="shared" si="48"/>
        <v>1</v>
      </c>
      <c r="R49" s="16" t="b">
        <f t="shared" si="48"/>
        <v>1</v>
      </c>
      <c r="S49" s="17">
        <f t="shared" si="3"/>
        <v>645</v>
      </c>
      <c r="T49" s="18">
        <f t="shared" si="4"/>
        <v>12.93039645</v>
      </c>
      <c r="U49" s="8"/>
      <c r="V49" s="8"/>
      <c r="W49" s="2"/>
      <c r="X49" s="2"/>
      <c r="Y49" s="2"/>
      <c r="Z49" s="2"/>
      <c r="AA49" s="2"/>
      <c r="AB49" s="2"/>
      <c r="AC49" s="2"/>
    </row>
    <row r="50">
      <c r="A50" s="15">
        <v>7596.0</v>
      </c>
      <c r="B50" s="15">
        <v>335.0</v>
      </c>
      <c r="C50" s="15">
        <v>47.0</v>
      </c>
      <c r="D50" s="15">
        <v>254.0</v>
      </c>
      <c r="E50" s="15">
        <v>295.0</v>
      </c>
      <c r="F50" s="15">
        <v>273.7093</v>
      </c>
      <c r="G50" s="15"/>
      <c r="H50" s="5"/>
      <c r="I50" s="15">
        <v>7596.0</v>
      </c>
      <c r="J50" s="15">
        <v>335.0</v>
      </c>
      <c r="K50" s="15">
        <v>47.0</v>
      </c>
      <c r="L50" s="15">
        <v>254.0</v>
      </c>
      <c r="M50" s="15">
        <v>295.0</v>
      </c>
      <c r="N50" s="15">
        <v>32.13306</v>
      </c>
      <c r="O50" s="2"/>
      <c r="P50" s="16" t="b">
        <f t="shared" ref="P50:R50" si="49">C50=K50</f>
        <v>1</v>
      </c>
      <c r="Q50" s="16" t="b">
        <f t="shared" si="49"/>
        <v>1</v>
      </c>
      <c r="R50" s="16" t="b">
        <f t="shared" si="49"/>
        <v>1</v>
      </c>
      <c r="S50" s="17">
        <f t="shared" si="3"/>
        <v>335</v>
      </c>
      <c r="T50" s="18">
        <f t="shared" si="4"/>
        <v>8.51799673</v>
      </c>
      <c r="U50" s="8"/>
      <c r="V50" s="8"/>
      <c r="W50" s="2"/>
      <c r="X50" s="2"/>
      <c r="Y50" s="2"/>
      <c r="Z50" s="2"/>
      <c r="AA50" s="2"/>
      <c r="AB50" s="2"/>
      <c r="AC50" s="2"/>
    </row>
    <row r="51">
      <c r="A51" s="15">
        <v>7597.0</v>
      </c>
      <c r="B51" s="15">
        <v>383.0</v>
      </c>
      <c r="C51" s="15">
        <v>45.0</v>
      </c>
      <c r="D51" s="15">
        <v>339.0</v>
      </c>
      <c r="E51" s="15">
        <v>373.0</v>
      </c>
      <c r="F51" s="15">
        <v>312.8035</v>
      </c>
      <c r="G51" s="15"/>
      <c r="H51" s="5"/>
      <c r="I51" s="15">
        <v>7597.0</v>
      </c>
      <c r="J51" s="15">
        <v>383.0</v>
      </c>
      <c r="K51" s="15">
        <v>45.0</v>
      </c>
      <c r="L51" s="15">
        <v>339.0</v>
      </c>
      <c r="M51" s="15">
        <v>373.0</v>
      </c>
      <c r="N51" s="15">
        <v>34.91351</v>
      </c>
      <c r="O51" s="2"/>
      <c r="P51" s="16" t="b">
        <f t="shared" ref="P51:R51" si="50">C51=K51</f>
        <v>1</v>
      </c>
      <c r="Q51" s="16" t="b">
        <f t="shared" si="50"/>
        <v>1</v>
      </c>
      <c r="R51" s="16" t="b">
        <f t="shared" si="50"/>
        <v>1</v>
      </c>
      <c r="S51" s="17">
        <f t="shared" si="3"/>
        <v>383</v>
      </c>
      <c r="T51" s="18">
        <f t="shared" si="4"/>
        <v>8.959382772</v>
      </c>
      <c r="U51" s="8"/>
      <c r="V51" s="8"/>
      <c r="W51" s="2"/>
      <c r="X51" s="2"/>
      <c r="Y51" s="2"/>
      <c r="Z51" s="2"/>
      <c r="AA51" s="2"/>
      <c r="AB51" s="2"/>
      <c r="AC51" s="2"/>
    </row>
    <row r="52">
      <c r="A52" s="15">
        <v>7598.0</v>
      </c>
      <c r="B52" s="15">
        <v>900.0</v>
      </c>
      <c r="C52" s="15">
        <v>52.0</v>
      </c>
      <c r="D52" s="15">
        <v>329.0</v>
      </c>
      <c r="E52" s="15">
        <v>381.0</v>
      </c>
      <c r="F52" s="15">
        <v>748.2887</v>
      </c>
      <c r="G52" s="15"/>
      <c r="H52" s="5"/>
      <c r="I52" s="15">
        <v>7598.0</v>
      </c>
      <c r="J52" s="15">
        <v>900.0</v>
      </c>
      <c r="K52" s="15">
        <v>52.0</v>
      </c>
      <c r="L52" s="15">
        <v>329.0</v>
      </c>
      <c r="M52" s="15">
        <v>381.0</v>
      </c>
      <c r="N52" s="15">
        <v>51.22845</v>
      </c>
      <c r="O52" s="2"/>
      <c r="P52" s="16" t="b">
        <f t="shared" ref="P52:R52" si="51">C52=K52</f>
        <v>1</v>
      </c>
      <c r="Q52" s="16" t="b">
        <f t="shared" si="51"/>
        <v>1</v>
      </c>
      <c r="R52" s="16" t="b">
        <f t="shared" si="51"/>
        <v>1</v>
      </c>
      <c r="S52" s="17">
        <f t="shared" si="3"/>
        <v>900</v>
      </c>
      <c r="T52" s="18">
        <f t="shared" si="4"/>
        <v>14.60689714</v>
      </c>
      <c r="U52" s="8"/>
      <c r="V52" s="8"/>
      <c r="W52" s="2"/>
      <c r="X52" s="2"/>
      <c r="Y52" s="2"/>
      <c r="Z52" s="2"/>
      <c r="AA52" s="2"/>
      <c r="AB52" s="2"/>
      <c r="AC52" s="2"/>
    </row>
    <row r="53">
      <c r="A53" s="15">
        <v>7599.0</v>
      </c>
      <c r="B53" s="15">
        <v>360.0</v>
      </c>
      <c r="C53" s="15">
        <v>52.0</v>
      </c>
      <c r="D53" s="15">
        <v>290.0</v>
      </c>
      <c r="E53" s="15">
        <v>330.0</v>
      </c>
      <c r="F53" s="15">
        <v>293.68</v>
      </c>
      <c r="G53" s="15"/>
      <c r="H53" s="5"/>
      <c r="I53" s="15">
        <v>7599.0</v>
      </c>
      <c r="J53" s="15">
        <v>360.0</v>
      </c>
      <c r="K53" s="15">
        <v>52.0</v>
      </c>
      <c r="L53" s="15">
        <v>290.0</v>
      </c>
      <c r="M53" s="15">
        <v>330.0</v>
      </c>
      <c r="N53" s="15">
        <v>34.72487</v>
      </c>
      <c r="O53" s="2"/>
      <c r="P53" s="16" t="b">
        <f t="shared" ref="P53:R53" si="52">C53=K53</f>
        <v>1</v>
      </c>
      <c r="Q53" s="16" t="b">
        <f t="shared" si="52"/>
        <v>1</v>
      </c>
      <c r="R53" s="16" t="b">
        <f t="shared" si="52"/>
        <v>1</v>
      </c>
      <c r="S53" s="17">
        <f t="shared" si="3"/>
        <v>360</v>
      </c>
      <c r="T53" s="18">
        <f t="shared" si="4"/>
        <v>8.457339077</v>
      </c>
      <c r="U53" s="8"/>
      <c r="V53" s="8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5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5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5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5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5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5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5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5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5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5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5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5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5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5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5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5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5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5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5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5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5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5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5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5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5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5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5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5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5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5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5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5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5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5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5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5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5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5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5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5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5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5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5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5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5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5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5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5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5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5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5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5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5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5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5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5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5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5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5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5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5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5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5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5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5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5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5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5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5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5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5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5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5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5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5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5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5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5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5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5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5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5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5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5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5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5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5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5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5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5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5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5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5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5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5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5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5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5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5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5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5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5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5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5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5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5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5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5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5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5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5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5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5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5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5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5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5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5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5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5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5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5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5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5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5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5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5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5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5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5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5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5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5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5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5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5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5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5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5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5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5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5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5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5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5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5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5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5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5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5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5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5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5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5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5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5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5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5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5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5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5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5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5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5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5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5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5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5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5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5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5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5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5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5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5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5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5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5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5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5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5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5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5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5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5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5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5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5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5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5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5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5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5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5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5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5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5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5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5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5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5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5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5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5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5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5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5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5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5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5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5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5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5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5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5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5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5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5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5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5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5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5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5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5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5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5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5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5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5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5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5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5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5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5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5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5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5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5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5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5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5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5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5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5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5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5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5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5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5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5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5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5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5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5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5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5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5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5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5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5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5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5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5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5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5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5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5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5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5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5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5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5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5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5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5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5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5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5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5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5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5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5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5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5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5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5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5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5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5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5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5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5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5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5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5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5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5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5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5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5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5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5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5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5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5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5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5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5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5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5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5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5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5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5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5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5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5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5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5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5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5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5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5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5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5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5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5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5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5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5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5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5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5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5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5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5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5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5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5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5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5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5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5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5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5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5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5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5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5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5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5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5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5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5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5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5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5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5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5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5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5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5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5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5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5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5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5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5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5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5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5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5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5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5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5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5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5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5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5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5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5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5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5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5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5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5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5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5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5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5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5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5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5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5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5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5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5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5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5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5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5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5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5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5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5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5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5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5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5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5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5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5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5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5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5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5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5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5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5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5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5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5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5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5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5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5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5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5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5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5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5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5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5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5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5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5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5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5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5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5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5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5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5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5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5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5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5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5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5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5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5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5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5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5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5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5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5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5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5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5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5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5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5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5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5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5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5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5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5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5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5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5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5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5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5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5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5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5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5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5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5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5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5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5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5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5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5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5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5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5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5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5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5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5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5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5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5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5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5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5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5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5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5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5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5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5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5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5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5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5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5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5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5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5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5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5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5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5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5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5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5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5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5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5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5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5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5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5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5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5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5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5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5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5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5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5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5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5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5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5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5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5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5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5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5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5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5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5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5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5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5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5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5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5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5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5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5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5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5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5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5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5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5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5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5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5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5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5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5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5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5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5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5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5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5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5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5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5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5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5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5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5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5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5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5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5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5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5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5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5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5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5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5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5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5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5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5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5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5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5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5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5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5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5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5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5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5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5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5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5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5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5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5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5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5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5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5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5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5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5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5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5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5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5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5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5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5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5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5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5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5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5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5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5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5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5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5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5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5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5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5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5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5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5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5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5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5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5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5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5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5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5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5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5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5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5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5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5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5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5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5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5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5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5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5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5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5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5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5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5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5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5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5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5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5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5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5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5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5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5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5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5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5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5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5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5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5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5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5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5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5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5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5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5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5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5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5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5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5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5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5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5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5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5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5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5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5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5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5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5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5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5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5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5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5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5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5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5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5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5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5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5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5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5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5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5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5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5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5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5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5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5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5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5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5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O1"/>
    <mergeCell ref="A2:G2"/>
    <mergeCell ref="I2:O2"/>
    <mergeCell ref="P2:R2"/>
    <mergeCell ref="T2:V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33</v>
      </c>
      <c r="J1" s="2"/>
      <c r="K1" s="3" t="s">
        <v>34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4" t="s">
        <v>2</v>
      </c>
      <c r="H2" s="5"/>
      <c r="I2" s="6" t="s">
        <v>3</v>
      </c>
      <c r="P2" s="7" t="s">
        <v>4</v>
      </c>
      <c r="S2" s="8"/>
      <c r="T2" s="9" t="s">
        <v>5</v>
      </c>
      <c r="W2" s="2"/>
      <c r="X2" s="2"/>
      <c r="Y2" s="2"/>
      <c r="Z2" s="2"/>
      <c r="AA2" s="2"/>
      <c r="AB2" s="2"/>
      <c r="AC2" s="2"/>
    </row>
    <row r="3">
      <c r="A3" s="10" t="s">
        <v>6</v>
      </c>
      <c r="B3" s="10" t="s">
        <v>7</v>
      </c>
      <c r="C3" s="10" t="s">
        <v>8</v>
      </c>
      <c r="D3" s="10" t="s">
        <v>9</v>
      </c>
      <c r="E3" s="10" t="s">
        <v>10</v>
      </c>
      <c r="F3" s="11" t="s">
        <v>11</v>
      </c>
      <c r="G3" s="11"/>
      <c r="H3" s="12" t="s">
        <v>12</v>
      </c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  <c r="N3" s="11" t="s">
        <v>11</v>
      </c>
      <c r="O3" s="11" t="s">
        <v>20</v>
      </c>
      <c r="P3" s="13" t="s">
        <v>8</v>
      </c>
      <c r="Q3" s="13" t="s">
        <v>13</v>
      </c>
      <c r="R3" s="13" t="s">
        <v>10</v>
      </c>
      <c r="S3" s="13" t="s">
        <v>7</v>
      </c>
      <c r="T3" s="14" t="s">
        <v>5</v>
      </c>
      <c r="U3" s="8"/>
      <c r="V3" s="8"/>
      <c r="W3" s="2"/>
      <c r="X3" s="2"/>
      <c r="Y3" s="2"/>
      <c r="Z3" s="2"/>
      <c r="AA3" s="2"/>
      <c r="AB3" s="2"/>
      <c r="AC3" s="2"/>
    </row>
    <row r="4">
      <c r="A4" s="15">
        <v>25350.0</v>
      </c>
      <c r="B4" s="15">
        <v>41.0</v>
      </c>
      <c r="C4" s="15">
        <v>29.0</v>
      </c>
      <c r="D4" s="15">
        <v>15.0</v>
      </c>
      <c r="E4" s="15">
        <v>41.0</v>
      </c>
      <c r="F4" s="15">
        <v>34.5673</v>
      </c>
      <c r="G4" s="15"/>
      <c r="H4" s="5">
        <f>MAX(C:C)</f>
        <v>240</v>
      </c>
      <c r="I4" s="15">
        <v>25350.0</v>
      </c>
      <c r="J4" s="15">
        <v>41.0</v>
      </c>
      <c r="K4" s="15">
        <v>29.0</v>
      </c>
      <c r="L4" s="15">
        <v>15.0</v>
      </c>
      <c r="M4" s="15">
        <v>41.0</v>
      </c>
      <c r="N4" s="15">
        <v>16.4631</v>
      </c>
      <c r="O4" s="2"/>
      <c r="P4" s="16" t="b">
        <f t="shared" ref="P4:R4" si="1">C4=K4</f>
        <v>1</v>
      </c>
      <c r="Q4" s="16" t="b">
        <f t="shared" si="1"/>
        <v>1</v>
      </c>
      <c r="R4" s="16" t="b">
        <f t="shared" si="1"/>
        <v>1</v>
      </c>
      <c r="S4" s="17">
        <f t="shared" ref="S4:S53" si="3">J4</f>
        <v>41</v>
      </c>
      <c r="T4" s="18">
        <f t="shared" ref="T4:T53" si="4">F4/N4</f>
        <v>2.099683535</v>
      </c>
      <c r="U4" s="19" t="s">
        <v>14</v>
      </c>
      <c r="V4" s="20">
        <f>AVERAGE(T:T)</f>
        <v>4.26700166</v>
      </c>
      <c r="W4" s="2"/>
      <c r="X4" s="2"/>
      <c r="Y4" s="2"/>
      <c r="Z4" s="2"/>
      <c r="AA4" s="2"/>
      <c r="AB4" s="2"/>
      <c r="AC4" s="2"/>
    </row>
    <row r="5">
      <c r="A5" s="15">
        <v>25351.0</v>
      </c>
      <c r="B5" s="15">
        <v>42.0</v>
      </c>
      <c r="C5" s="15">
        <v>27.0</v>
      </c>
      <c r="D5" s="15">
        <v>2.0</v>
      </c>
      <c r="E5" s="15">
        <v>38.0</v>
      </c>
      <c r="F5" s="15">
        <v>36.1437</v>
      </c>
      <c r="G5" s="15"/>
      <c r="H5" s="12" t="s">
        <v>15</v>
      </c>
      <c r="I5" s="15">
        <v>25351.0</v>
      </c>
      <c r="J5" s="15">
        <v>42.0</v>
      </c>
      <c r="K5" s="15">
        <v>27.0</v>
      </c>
      <c r="L5" s="15">
        <v>2.0</v>
      </c>
      <c r="M5" s="15">
        <v>38.0</v>
      </c>
      <c r="N5" s="15">
        <v>21.56749</v>
      </c>
      <c r="O5" s="2"/>
      <c r="P5" s="16" t="b">
        <f t="shared" ref="P5:R5" si="2">C5=K5</f>
        <v>1</v>
      </c>
      <c r="Q5" s="16" t="b">
        <f t="shared" si="2"/>
        <v>1</v>
      </c>
      <c r="R5" s="16" t="b">
        <f t="shared" si="2"/>
        <v>1</v>
      </c>
      <c r="S5" s="17">
        <f t="shared" si="3"/>
        <v>42</v>
      </c>
      <c r="T5" s="18">
        <f t="shared" si="4"/>
        <v>1.675841741</v>
      </c>
      <c r="U5" s="19" t="s">
        <v>16</v>
      </c>
      <c r="V5" s="20">
        <f>max(T:T)</f>
        <v>17.74098354</v>
      </c>
      <c r="W5" s="2"/>
      <c r="X5" s="2"/>
      <c r="Y5" s="2"/>
      <c r="Z5" s="2"/>
      <c r="AA5" s="2"/>
      <c r="AB5" s="2"/>
      <c r="AC5" s="2"/>
    </row>
    <row r="6">
      <c r="A6" s="15">
        <v>25352.0</v>
      </c>
      <c r="B6" s="15">
        <v>79.0</v>
      </c>
      <c r="C6" s="15">
        <v>37.0</v>
      </c>
      <c r="D6" s="15">
        <v>38.0</v>
      </c>
      <c r="E6" s="15">
        <v>73.0</v>
      </c>
      <c r="F6" s="15">
        <v>67.3278</v>
      </c>
      <c r="G6" s="15"/>
      <c r="H6" s="5">
        <f t="array" ref="H6">INDEX(A:A, MATCH(H4, C:C, 0))</f>
        <v>25377</v>
      </c>
      <c r="I6" s="15">
        <v>25352.0</v>
      </c>
      <c r="J6" s="15">
        <v>79.0</v>
      </c>
      <c r="K6" s="15">
        <v>37.0</v>
      </c>
      <c r="L6" s="15">
        <v>38.0</v>
      </c>
      <c r="M6" s="15">
        <v>73.0</v>
      </c>
      <c r="N6" s="15">
        <v>29.22086</v>
      </c>
      <c r="O6" s="2"/>
      <c r="P6" s="16" t="b">
        <f t="shared" ref="P6:R6" si="5">C6=K6</f>
        <v>1</v>
      </c>
      <c r="Q6" s="16" t="b">
        <f t="shared" si="5"/>
        <v>1</v>
      </c>
      <c r="R6" s="16" t="b">
        <f t="shared" si="5"/>
        <v>1</v>
      </c>
      <c r="S6" s="17">
        <f t="shared" si="3"/>
        <v>79</v>
      </c>
      <c r="T6" s="18">
        <f t="shared" si="4"/>
        <v>2.304100564</v>
      </c>
      <c r="U6" s="19" t="s">
        <v>17</v>
      </c>
      <c r="V6" s="20">
        <f>MIN(T:T)</f>
        <v>1.295020206</v>
      </c>
      <c r="W6" s="2"/>
      <c r="X6" s="2"/>
      <c r="Y6" s="2"/>
      <c r="Z6" s="2"/>
      <c r="AA6" s="2"/>
      <c r="AB6" s="2"/>
      <c r="AC6" s="2"/>
    </row>
    <row r="7">
      <c r="A7" s="15">
        <v>25353.0</v>
      </c>
      <c r="B7" s="15">
        <v>36.0</v>
      </c>
      <c r="C7" s="15">
        <v>23.0</v>
      </c>
      <c r="D7" s="15">
        <v>2.0</v>
      </c>
      <c r="E7" s="15">
        <v>15.0</v>
      </c>
      <c r="F7" s="15">
        <v>30.9487</v>
      </c>
      <c r="G7" s="15"/>
      <c r="H7" s="5"/>
      <c r="I7" s="15">
        <v>25353.0</v>
      </c>
      <c r="J7" s="15">
        <v>36.0</v>
      </c>
      <c r="K7" s="15">
        <v>23.0</v>
      </c>
      <c r="L7" s="15">
        <v>2.0</v>
      </c>
      <c r="M7" s="15">
        <v>15.0</v>
      </c>
      <c r="N7" s="15">
        <v>18.89005</v>
      </c>
      <c r="O7" s="2"/>
      <c r="P7" s="16" t="b">
        <f t="shared" ref="P7:R7" si="6">C7=K7</f>
        <v>1</v>
      </c>
      <c r="Q7" s="16" t="b">
        <f t="shared" si="6"/>
        <v>1</v>
      </c>
      <c r="R7" s="16" t="b">
        <f t="shared" si="6"/>
        <v>1</v>
      </c>
      <c r="S7" s="17">
        <f t="shared" si="3"/>
        <v>36</v>
      </c>
      <c r="T7" s="18">
        <f t="shared" si="4"/>
        <v>1.638359877</v>
      </c>
      <c r="U7" s="8"/>
      <c r="V7" s="8"/>
      <c r="W7" s="2"/>
      <c r="X7" s="2"/>
      <c r="Y7" s="2"/>
      <c r="Z7" s="2"/>
      <c r="AA7" s="2"/>
      <c r="AB7" s="2"/>
      <c r="AC7" s="2"/>
    </row>
    <row r="8">
      <c r="A8" s="15">
        <v>25354.0</v>
      </c>
      <c r="B8" s="15">
        <v>215.0</v>
      </c>
      <c r="C8" s="15">
        <v>51.0</v>
      </c>
      <c r="D8" s="15">
        <v>52.0</v>
      </c>
      <c r="E8" s="15">
        <v>106.0</v>
      </c>
      <c r="F8" s="15">
        <v>180.134</v>
      </c>
      <c r="G8" s="15"/>
      <c r="H8" s="5"/>
      <c r="I8" s="15">
        <v>25354.0</v>
      </c>
      <c r="J8" s="15">
        <v>215.0</v>
      </c>
      <c r="K8" s="15">
        <v>51.0</v>
      </c>
      <c r="L8" s="15">
        <v>52.0</v>
      </c>
      <c r="M8" s="15">
        <v>106.0</v>
      </c>
      <c r="N8" s="15">
        <v>33.95482</v>
      </c>
      <c r="O8" s="2"/>
      <c r="P8" s="16" t="b">
        <f t="shared" ref="P8:R8" si="7">C8=K8</f>
        <v>1</v>
      </c>
      <c r="Q8" s="16" t="b">
        <f t="shared" si="7"/>
        <v>1</v>
      </c>
      <c r="R8" s="16" t="b">
        <f t="shared" si="7"/>
        <v>1</v>
      </c>
      <c r="S8" s="17">
        <f t="shared" si="3"/>
        <v>215</v>
      </c>
      <c r="T8" s="18">
        <f t="shared" si="4"/>
        <v>5.305108376</v>
      </c>
      <c r="U8" s="8"/>
      <c r="V8" s="8"/>
      <c r="W8" s="2"/>
      <c r="X8" s="2"/>
      <c r="Y8" s="2"/>
      <c r="Z8" s="2"/>
      <c r="AA8" s="2"/>
      <c r="AB8" s="2"/>
      <c r="AC8" s="2"/>
    </row>
    <row r="9">
      <c r="A9" s="15">
        <v>25355.0</v>
      </c>
      <c r="B9" s="15">
        <v>72.0</v>
      </c>
      <c r="C9" s="15">
        <v>40.0</v>
      </c>
      <c r="D9" s="15">
        <v>2.0</v>
      </c>
      <c r="E9" s="15">
        <v>51.0</v>
      </c>
      <c r="F9" s="15">
        <v>59.7832</v>
      </c>
      <c r="G9" s="15"/>
      <c r="H9" s="5"/>
      <c r="I9" s="15">
        <v>25355.0</v>
      </c>
      <c r="J9" s="15">
        <v>72.0</v>
      </c>
      <c r="K9" s="15">
        <v>40.0</v>
      </c>
      <c r="L9" s="15">
        <v>2.0</v>
      </c>
      <c r="M9" s="15">
        <v>51.0</v>
      </c>
      <c r="N9" s="15">
        <v>27.3408</v>
      </c>
      <c r="O9" s="2"/>
      <c r="P9" s="16" t="b">
        <f t="shared" ref="P9:R9" si="8">C9=K9</f>
        <v>1</v>
      </c>
      <c r="Q9" s="16" t="b">
        <f t="shared" si="8"/>
        <v>1</v>
      </c>
      <c r="R9" s="16" t="b">
        <f t="shared" si="8"/>
        <v>1</v>
      </c>
      <c r="S9" s="17">
        <f t="shared" si="3"/>
        <v>72</v>
      </c>
      <c r="T9" s="18">
        <f t="shared" si="4"/>
        <v>2.186592931</v>
      </c>
      <c r="U9" s="8"/>
      <c r="V9" s="8"/>
      <c r="W9" s="2"/>
      <c r="X9" s="2"/>
      <c r="Y9" s="2"/>
      <c r="Z9" s="2"/>
      <c r="AA9" s="2"/>
      <c r="AB9" s="2"/>
      <c r="AC9" s="2"/>
    </row>
    <row r="10">
      <c r="A10" s="15">
        <v>25356.0</v>
      </c>
      <c r="B10" s="15">
        <v>54.0</v>
      </c>
      <c r="C10" s="15">
        <v>32.0</v>
      </c>
      <c r="D10" s="15">
        <v>28.0</v>
      </c>
      <c r="E10" s="15">
        <v>53.0</v>
      </c>
      <c r="F10" s="15">
        <v>45.6092</v>
      </c>
      <c r="G10" s="15"/>
      <c r="H10" s="5"/>
      <c r="I10" s="15">
        <v>25356.0</v>
      </c>
      <c r="J10" s="15">
        <v>54.0</v>
      </c>
      <c r="K10" s="15">
        <v>32.0</v>
      </c>
      <c r="L10" s="15">
        <v>28.0</v>
      </c>
      <c r="M10" s="15">
        <v>53.0</v>
      </c>
      <c r="N10" s="15">
        <v>21.95642</v>
      </c>
      <c r="O10" s="2"/>
      <c r="P10" s="16" t="b">
        <f t="shared" ref="P10:R10" si="9">C10=K10</f>
        <v>1</v>
      </c>
      <c r="Q10" s="16" t="b">
        <f t="shared" si="9"/>
        <v>1</v>
      </c>
      <c r="R10" s="16" t="b">
        <f t="shared" si="9"/>
        <v>1</v>
      </c>
      <c r="S10" s="17">
        <f t="shared" si="3"/>
        <v>54</v>
      </c>
      <c r="T10" s="18">
        <f t="shared" si="4"/>
        <v>2.077260318</v>
      </c>
      <c r="U10" s="8"/>
      <c r="V10" s="8"/>
      <c r="W10" s="2"/>
      <c r="X10" s="2"/>
      <c r="Y10" s="2"/>
      <c r="Z10" s="2"/>
      <c r="AA10" s="2"/>
      <c r="AB10" s="2"/>
      <c r="AC10" s="2"/>
    </row>
    <row r="11">
      <c r="A11" s="15">
        <v>25357.0</v>
      </c>
      <c r="B11" s="15">
        <v>36.0</v>
      </c>
      <c r="C11" s="15">
        <v>39.0</v>
      </c>
      <c r="D11" s="15">
        <v>2.0</v>
      </c>
      <c r="E11" s="15">
        <v>18.0</v>
      </c>
      <c r="F11" s="15">
        <v>30.673</v>
      </c>
      <c r="G11" s="15"/>
      <c r="H11" s="5"/>
      <c r="I11" s="15">
        <v>25357.0</v>
      </c>
      <c r="J11" s="15">
        <v>36.0</v>
      </c>
      <c r="K11" s="15">
        <v>39.0</v>
      </c>
      <c r="L11" s="15">
        <v>2.0</v>
      </c>
      <c r="M11" s="15">
        <v>18.0</v>
      </c>
      <c r="N11" s="15">
        <v>18.5856</v>
      </c>
      <c r="O11" s="2"/>
      <c r="P11" s="16" t="b">
        <f t="shared" ref="P11:R11" si="10">C11=K11</f>
        <v>1</v>
      </c>
      <c r="Q11" s="16" t="b">
        <f t="shared" si="10"/>
        <v>1</v>
      </c>
      <c r="R11" s="16" t="b">
        <f t="shared" si="10"/>
        <v>1</v>
      </c>
      <c r="S11" s="17">
        <f t="shared" si="3"/>
        <v>36</v>
      </c>
      <c r="T11" s="18">
        <f t="shared" si="4"/>
        <v>1.650363722</v>
      </c>
      <c r="U11" s="8"/>
      <c r="V11" s="8"/>
      <c r="W11" s="2"/>
      <c r="X11" s="2"/>
      <c r="Y11" s="2"/>
      <c r="Z11" s="2"/>
      <c r="AA11" s="2"/>
      <c r="AB11" s="2"/>
      <c r="AC11" s="2"/>
    </row>
    <row r="12">
      <c r="A12" s="15">
        <v>25358.0</v>
      </c>
      <c r="B12" s="15">
        <v>290.0</v>
      </c>
      <c r="C12" s="15">
        <v>41.0</v>
      </c>
      <c r="D12" s="15">
        <v>132.0</v>
      </c>
      <c r="E12" s="15">
        <v>183.0</v>
      </c>
      <c r="F12" s="15">
        <v>243.4787</v>
      </c>
      <c r="G12" s="15"/>
      <c r="H12" s="5"/>
      <c r="I12" s="15">
        <v>25358.0</v>
      </c>
      <c r="J12" s="15">
        <v>290.0</v>
      </c>
      <c r="K12" s="15">
        <v>41.0</v>
      </c>
      <c r="L12" s="15">
        <v>132.0</v>
      </c>
      <c r="M12" s="15">
        <v>183.0</v>
      </c>
      <c r="N12" s="15">
        <v>33.34758</v>
      </c>
      <c r="O12" s="2"/>
      <c r="P12" s="16" t="b">
        <f t="shared" ref="P12:R12" si="11">C12=K12</f>
        <v>1</v>
      </c>
      <c r="Q12" s="16" t="b">
        <f t="shared" si="11"/>
        <v>1</v>
      </c>
      <c r="R12" s="16" t="b">
        <f t="shared" si="11"/>
        <v>1</v>
      </c>
      <c r="S12" s="17">
        <f t="shared" si="3"/>
        <v>290</v>
      </c>
      <c r="T12" s="18">
        <f t="shared" si="4"/>
        <v>7.30124045</v>
      </c>
      <c r="U12" s="8"/>
      <c r="V12" s="8"/>
      <c r="W12" s="2"/>
      <c r="X12" s="2"/>
      <c r="Y12" s="2"/>
      <c r="Z12" s="2"/>
      <c r="AA12" s="2"/>
      <c r="AB12" s="2"/>
      <c r="AC12" s="2"/>
    </row>
    <row r="13">
      <c r="A13" s="15">
        <v>25359.0</v>
      </c>
      <c r="B13" s="15">
        <v>200.0</v>
      </c>
      <c r="C13" s="15">
        <v>45.0</v>
      </c>
      <c r="D13" s="15">
        <v>141.0</v>
      </c>
      <c r="E13" s="15">
        <v>199.0</v>
      </c>
      <c r="F13" s="15">
        <v>165.8027</v>
      </c>
      <c r="G13" s="15"/>
      <c r="H13" s="5"/>
      <c r="I13" s="15">
        <v>25359.0</v>
      </c>
      <c r="J13" s="15">
        <v>200.0</v>
      </c>
      <c r="K13" s="15">
        <v>45.0</v>
      </c>
      <c r="L13" s="15">
        <v>141.0</v>
      </c>
      <c r="M13" s="15">
        <v>199.0</v>
      </c>
      <c r="N13" s="15">
        <v>31.35488</v>
      </c>
      <c r="O13" s="2"/>
      <c r="P13" s="16" t="b">
        <f t="shared" ref="P13:R13" si="12">C13=K13</f>
        <v>1</v>
      </c>
      <c r="Q13" s="16" t="b">
        <f t="shared" si="12"/>
        <v>1</v>
      </c>
      <c r="R13" s="16" t="b">
        <f t="shared" si="12"/>
        <v>1</v>
      </c>
      <c r="S13" s="17">
        <f t="shared" si="3"/>
        <v>200</v>
      </c>
      <c r="T13" s="18">
        <f t="shared" si="4"/>
        <v>5.28793923</v>
      </c>
      <c r="U13" s="8"/>
      <c r="V13" s="8"/>
      <c r="W13" s="2"/>
      <c r="X13" s="2"/>
      <c r="Y13" s="2"/>
      <c r="Z13" s="2"/>
      <c r="AA13" s="2"/>
      <c r="AB13" s="2"/>
      <c r="AC13" s="2"/>
    </row>
    <row r="14">
      <c r="A14" s="15">
        <v>25360.0</v>
      </c>
      <c r="B14" s="15">
        <v>78.0</v>
      </c>
      <c r="C14" s="15">
        <v>40.0</v>
      </c>
      <c r="D14" s="15">
        <v>20.0</v>
      </c>
      <c r="E14" s="15">
        <v>60.0</v>
      </c>
      <c r="F14" s="15">
        <v>64.5625</v>
      </c>
      <c r="G14" s="15"/>
      <c r="H14" s="5"/>
      <c r="I14" s="15">
        <v>25360.0</v>
      </c>
      <c r="J14" s="15">
        <v>78.0</v>
      </c>
      <c r="K14" s="15">
        <v>40.0</v>
      </c>
      <c r="L14" s="15">
        <v>20.0</v>
      </c>
      <c r="M14" s="15">
        <v>60.0</v>
      </c>
      <c r="N14" s="15">
        <v>25.17606</v>
      </c>
      <c r="O14" s="2"/>
      <c r="P14" s="16" t="b">
        <f t="shared" ref="P14:R14" si="13">C14=K14</f>
        <v>1</v>
      </c>
      <c r="Q14" s="16" t="b">
        <f t="shared" si="13"/>
        <v>1</v>
      </c>
      <c r="R14" s="16" t="b">
        <f t="shared" si="13"/>
        <v>1</v>
      </c>
      <c r="S14" s="17">
        <f t="shared" si="3"/>
        <v>78</v>
      </c>
      <c r="T14" s="18">
        <f t="shared" si="4"/>
        <v>2.564440186</v>
      </c>
      <c r="U14" s="8"/>
      <c r="V14" s="8"/>
      <c r="W14" s="2"/>
      <c r="X14" s="2"/>
      <c r="Y14" s="2"/>
      <c r="Z14" s="2"/>
      <c r="AA14" s="2"/>
      <c r="AB14" s="2"/>
      <c r="AC14" s="2"/>
    </row>
    <row r="15">
      <c r="A15" s="15">
        <v>25361.0</v>
      </c>
      <c r="B15" s="15">
        <v>65.0</v>
      </c>
      <c r="C15" s="15">
        <v>38.0</v>
      </c>
      <c r="D15" s="15">
        <v>15.0</v>
      </c>
      <c r="E15" s="15">
        <v>58.0</v>
      </c>
      <c r="F15" s="15">
        <v>54.5643</v>
      </c>
      <c r="G15" s="15"/>
      <c r="H15" s="5"/>
      <c r="I15" s="15">
        <v>25361.0</v>
      </c>
      <c r="J15" s="15">
        <v>65.0</v>
      </c>
      <c r="K15" s="15">
        <v>38.0</v>
      </c>
      <c r="L15" s="15">
        <v>15.0</v>
      </c>
      <c r="M15" s="15">
        <v>58.0</v>
      </c>
      <c r="N15" s="15">
        <v>24.61082</v>
      </c>
      <c r="O15" s="2"/>
      <c r="P15" s="16" t="b">
        <f t="shared" ref="P15:R15" si="14">C15=K15</f>
        <v>1</v>
      </c>
      <c r="Q15" s="16" t="b">
        <f t="shared" si="14"/>
        <v>1</v>
      </c>
      <c r="R15" s="16" t="b">
        <f t="shared" si="14"/>
        <v>1</v>
      </c>
      <c r="S15" s="17">
        <f t="shared" si="3"/>
        <v>65</v>
      </c>
      <c r="T15" s="18">
        <f t="shared" si="4"/>
        <v>2.217085818</v>
      </c>
      <c r="U15" s="8"/>
      <c r="V15" s="8"/>
      <c r="W15" s="2"/>
      <c r="X15" s="2"/>
      <c r="Y15" s="2"/>
      <c r="Z15" s="2"/>
      <c r="AA15" s="2"/>
      <c r="AB15" s="2"/>
      <c r="AC15" s="2"/>
    </row>
    <row r="16">
      <c r="A16" s="15">
        <v>25362.0</v>
      </c>
      <c r="B16" s="15">
        <v>43.0</v>
      </c>
      <c r="C16" s="15">
        <v>32.0</v>
      </c>
      <c r="D16" s="15">
        <v>7.0</v>
      </c>
      <c r="E16" s="15">
        <v>24.0</v>
      </c>
      <c r="F16" s="15">
        <v>35.7096</v>
      </c>
      <c r="G16" s="15"/>
      <c r="H16" s="5"/>
      <c r="I16" s="15">
        <v>25362.0</v>
      </c>
      <c r="J16" s="15">
        <v>43.0</v>
      </c>
      <c r="K16" s="15">
        <v>32.0</v>
      </c>
      <c r="L16" s="15">
        <v>7.0</v>
      </c>
      <c r="M16" s="15">
        <v>24.0</v>
      </c>
      <c r="N16" s="15">
        <v>19.70384</v>
      </c>
      <c r="O16" s="2"/>
      <c r="P16" s="16" t="b">
        <f t="shared" ref="P16:R16" si="15">C16=K16</f>
        <v>1</v>
      </c>
      <c r="Q16" s="16" t="b">
        <f t="shared" si="15"/>
        <v>1</v>
      </c>
      <c r="R16" s="16" t="b">
        <f t="shared" si="15"/>
        <v>1</v>
      </c>
      <c r="S16" s="17">
        <f t="shared" si="3"/>
        <v>43</v>
      </c>
      <c r="T16" s="18">
        <f t="shared" si="4"/>
        <v>1.812316787</v>
      </c>
      <c r="U16" s="8"/>
      <c r="V16" s="8"/>
      <c r="W16" s="2"/>
      <c r="X16" s="2"/>
      <c r="Y16" s="2"/>
      <c r="Z16" s="2"/>
      <c r="AA16" s="2"/>
      <c r="AB16" s="2"/>
      <c r="AC16" s="2"/>
    </row>
    <row r="17">
      <c r="A17" s="15">
        <v>25363.0</v>
      </c>
      <c r="B17" s="15">
        <v>192.0</v>
      </c>
      <c r="C17" s="15">
        <v>47.0</v>
      </c>
      <c r="D17" s="15">
        <v>87.0</v>
      </c>
      <c r="E17" s="15">
        <v>132.0</v>
      </c>
      <c r="F17" s="15">
        <v>157.8171</v>
      </c>
      <c r="G17" s="15"/>
      <c r="H17" s="5"/>
      <c r="I17" s="15">
        <v>25363.0</v>
      </c>
      <c r="J17" s="15">
        <v>192.0</v>
      </c>
      <c r="K17" s="15">
        <v>47.0</v>
      </c>
      <c r="L17" s="15">
        <v>87.0</v>
      </c>
      <c r="M17" s="15">
        <v>132.0</v>
      </c>
      <c r="N17" s="15">
        <v>29.57414</v>
      </c>
      <c r="O17" s="2"/>
      <c r="P17" s="16" t="b">
        <f t="shared" ref="P17:R17" si="16">C17=K17</f>
        <v>1</v>
      </c>
      <c r="Q17" s="16" t="b">
        <f t="shared" si="16"/>
        <v>1</v>
      </c>
      <c r="R17" s="16" t="b">
        <f t="shared" si="16"/>
        <v>1</v>
      </c>
      <c r="S17" s="17">
        <f t="shared" si="3"/>
        <v>192</v>
      </c>
      <c r="T17" s="18">
        <f t="shared" si="4"/>
        <v>5.336320853</v>
      </c>
      <c r="U17" s="8"/>
      <c r="V17" s="8"/>
      <c r="W17" s="2"/>
      <c r="X17" s="2"/>
      <c r="Y17" s="2"/>
      <c r="Z17" s="2"/>
      <c r="AA17" s="2"/>
      <c r="AB17" s="2"/>
      <c r="AC17" s="2"/>
    </row>
    <row r="18">
      <c r="A18" s="15">
        <v>25364.0</v>
      </c>
      <c r="B18" s="15">
        <v>309.0</v>
      </c>
      <c r="C18" s="15">
        <v>40.0</v>
      </c>
      <c r="D18" s="15">
        <v>89.0</v>
      </c>
      <c r="E18" s="15">
        <v>137.0</v>
      </c>
      <c r="F18" s="15">
        <v>259.1664</v>
      </c>
      <c r="G18" s="15"/>
      <c r="H18" s="5"/>
      <c r="I18" s="15">
        <v>25364.0</v>
      </c>
      <c r="J18" s="15">
        <v>309.0</v>
      </c>
      <c r="K18" s="15">
        <v>40.0</v>
      </c>
      <c r="L18" s="15">
        <v>89.0</v>
      </c>
      <c r="M18" s="15">
        <v>137.0</v>
      </c>
      <c r="N18" s="15">
        <v>34.23546</v>
      </c>
      <c r="O18" s="2"/>
      <c r="P18" s="16" t="b">
        <f t="shared" ref="P18:R18" si="17">C18=K18</f>
        <v>1</v>
      </c>
      <c r="Q18" s="16" t="b">
        <f t="shared" si="17"/>
        <v>1</v>
      </c>
      <c r="R18" s="16" t="b">
        <f t="shared" si="17"/>
        <v>1</v>
      </c>
      <c r="S18" s="17">
        <f t="shared" si="3"/>
        <v>309</v>
      </c>
      <c r="T18" s="18">
        <f t="shared" si="4"/>
        <v>7.570115897</v>
      </c>
      <c r="U18" s="8"/>
      <c r="V18" s="8"/>
      <c r="W18" s="2"/>
      <c r="X18" s="2"/>
      <c r="Y18" s="2"/>
      <c r="Z18" s="2"/>
      <c r="AA18" s="2"/>
      <c r="AB18" s="2"/>
      <c r="AC18" s="2"/>
    </row>
    <row r="19">
      <c r="A19" s="15">
        <v>25365.0</v>
      </c>
      <c r="B19" s="15">
        <v>57.0</v>
      </c>
      <c r="C19" s="15">
        <v>44.0</v>
      </c>
      <c r="D19" s="15">
        <v>1.0</v>
      </c>
      <c r="E19" s="15">
        <v>49.0</v>
      </c>
      <c r="F19" s="15">
        <v>48.286</v>
      </c>
      <c r="G19" s="15"/>
      <c r="H19" s="5"/>
      <c r="I19" s="15">
        <v>25365.0</v>
      </c>
      <c r="J19" s="15">
        <v>57.0</v>
      </c>
      <c r="K19" s="15">
        <v>44.0</v>
      </c>
      <c r="L19" s="15">
        <v>1.0</v>
      </c>
      <c r="M19" s="15">
        <v>49.0</v>
      </c>
      <c r="N19" s="15">
        <v>27.93373</v>
      </c>
      <c r="O19" s="2"/>
      <c r="P19" s="16" t="b">
        <f t="shared" ref="P19:R19" si="18">C19=K19</f>
        <v>1</v>
      </c>
      <c r="Q19" s="16" t="b">
        <f t="shared" si="18"/>
        <v>1</v>
      </c>
      <c r="R19" s="16" t="b">
        <f t="shared" si="18"/>
        <v>1</v>
      </c>
      <c r="S19" s="17">
        <f t="shared" si="3"/>
        <v>57</v>
      </c>
      <c r="T19" s="18">
        <f t="shared" si="4"/>
        <v>1.728591205</v>
      </c>
      <c r="U19" s="8"/>
      <c r="V19" s="8"/>
      <c r="W19" s="2"/>
      <c r="X19" s="2"/>
      <c r="Y19" s="2"/>
      <c r="Z19" s="2"/>
      <c r="AA19" s="2"/>
      <c r="AB19" s="2"/>
      <c r="AC19" s="2"/>
    </row>
    <row r="20">
      <c r="A20" s="15">
        <v>25366.0</v>
      </c>
      <c r="B20" s="15">
        <v>88.0</v>
      </c>
      <c r="C20" s="15">
        <v>40.0</v>
      </c>
      <c r="D20" s="15">
        <v>27.0</v>
      </c>
      <c r="E20" s="15">
        <v>64.0</v>
      </c>
      <c r="F20" s="15">
        <v>72.8598</v>
      </c>
      <c r="G20" s="15"/>
      <c r="H20" s="5"/>
      <c r="I20" s="15">
        <v>25366.0</v>
      </c>
      <c r="J20" s="15">
        <v>88.0</v>
      </c>
      <c r="K20" s="15">
        <v>40.0</v>
      </c>
      <c r="L20" s="15">
        <v>27.0</v>
      </c>
      <c r="M20" s="15">
        <v>64.0</v>
      </c>
      <c r="N20" s="15">
        <v>26.2913</v>
      </c>
      <c r="O20" s="2"/>
      <c r="P20" s="16" t="b">
        <f t="shared" ref="P20:R20" si="19">C20=K20</f>
        <v>1</v>
      </c>
      <c r="Q20" s="16" t="b">
        <f t="shared" si="19"/>
        <v>1</v>
      </c>
      <c r="R20" s="16" t="b">
        <f t="shared" si="19"/>
        <v>1</v>
      </c>
      <c r="S20" s="17">
        <f t="shared" si="3"/>
        <v>88</v>
      </c>
      <c r="T20" s="18">
        <f t="shared" si="4"/>
        <v>2.771251326</v>
      </c>
      <c r="U20" s="8"/>
      <c r="V20" s="8"/>
      <c r="W20" s="2"/>
      <c r="X20" s="2"/>
      <c r="Y20" s="2"/>
      <c r="Z20" s="2"/>
      <c r="AA20" s="2"/>
      <c r="AB20" s="2"/>
      <c r="AC20" s="2"/>
    </row>
    <row r="21">
      <c r="A21" s="15">
        <v>25367.0</v>
      </c>
      <c r="B21" s="15">
        <v>40.0</v>
      </c>
      <c r="C21" s="15">
        <v>20.0</v>
      </c>
      <c r="D21" s="15">
        <v>3.0</v>
      </c>
      <c r="E21" s="15">
        <v>32.0</v>
      </c>
      <c r="F21" s="15">
        <v>35.1685</v>
      </c>
      <c r="G21" s="15"/>
      <c r="H21" s="5"/>
      <c r="I21" s="15">
        <v>25367.0</v>
      </c>
      <c r="J21" s="15">
        <v>40.0</v>
      </c>
      <c r="K21" s="15">
        <v>20.0</v>
      </c>
      <c r="L21" s="15">
        <v>3.0</v>
      </c>
      <c r="M21" s="15">
        <v>32.0</v>
      </c>
      <c r="N21" s="15">
        <v>20.87014</v>
      </c>
      <c r="O21" s="2"/>
      <c r="P21" s="16" t="b">
        <f t="shared" ref="P21:R21" si="20">C21=K21</f>
        <v>1</v>
      </c>
      <c r="Q21" s="16" t="b">
        <f t="shared" si="20"/>
        <v>1</v>
      </c>
      <c r="R21" s="16" t="b">
        <f t="shared" si="20"/>
        <v>1</v>
      </c>
      <c r="S21" s="17">
        <f t="shared" si="3"/>
        <v>40</v>
      </c>
      <c r="T21" s="18">
        <f t="shared" si="4"/>
        <v>1.685110881</v>
      </c>
      <c r="U21" s="8"/>
      <c r="V21" s="8"/>
      <c r="W21" s="2"/>
      <c r="X21" s="2"/>
      <c r="Y21" s="2"/>
      <c r="Z21" s="2"/>
      <c r="AA21" s="2"/>
      <c r="AB21" s="2"/>
      <c r="AC21" s="2"/>
    </row>
    <row r="22">
      <c r="A22" s="15">
        <v>25368.0</v>
      </c>
      <c r="B22" s="15">
        <v>1469.0</v>
      </c>
      <c r="C22" s="15">
        <v>53.0</v>
      </c>
      <c r="D22" s="15">
        <v>219.0</v>
      </c>
      <c r="E22" s="15">
        <v>258.0</v>
      </c>
      <c r="F22" s="15">
        <v>1205.365</v>
      </c>
      <c r="G22" s="15"/>
      <c r="H22" s="5"/>
      <c r="I22" s="15">
        <v>25368.0</v>
      </c>
      <c r="J22" s="15">
        <v>1469.0</v>
      </c>
      <c r="K22" s="15">
        <v>53.0</v>
      </c>
      <c r="L22" s="15">
        <v>219.0</v>
      </c>
      <c r="M22" s="15">
        <v>258.0</v>
      </c>
      <c r="N22" s="15">
        <v>67.9424</v>
      </c>
      <c r="O22" s="2"/>
      <c r="P22" s="16" t="b">
        <f t="shared" ref="P22:R22" si="21">C22=K22</f>
        <v>1</v>
      </c>
      <c r="Q22" s="16" t="b">
        <f t="shared" si="21"/>
        <v>1</v>
      </c>
      <c r="R22" s="16" t="b">
        <f t="shared" si="21"/>
        <v>1</v>
      </c>
      <c r="S22" s="17">
        <f t="shared" si="3"/>
        <v>1469</v>
      </c>
      <c r="T22" s="18">
        <f t="shared" si="4"/>
        <v>17.74098354</v>
      </c>
      <c r="U22" s="8"/>
      <c r="V22" s="8"/>
      <c r="W22" s="2"/>
      <c r="X22" s="2"/>
      <c r="Y22" s="2"/>
      <c r="Z22" s="2"/>
      <c r="AA22" s="2"/>
      <c r="AB22" s="2"/>
      <c r="AC22" s="2"/>
    </row>
    <row r="23">
      <c r="A23" s="15">
        <v>25369.0</v>
      </c>
      <c r="B23" s="15">
        <v>224.0</v>
      </c>
      <c r="C23" s="15">
        <v>50.0</v>
      </c>
      <c r="D23" s="15">
        <v>188.0</v>
      </c>
      <c r="E23" s="15">
        <v>222.0</v>
      </c>
      <c r="F23" s="15">
        <v>184.7442</v>
      </c>
      <c r="G23" s="15"/>
      <c r="H23" s="5"/>
      <c r="I23" s="15">
        <v>25369.0</v>
      </c>
      <c r="J23" s="15">
        <v>224.0</v>
      </c>
      <c r="K23" s="15">
        <v>50.0</v>
      </c>
      <c r="L23" s="15">
        <v>188.0</v>
      </c>
      <c r="M23" s="15">
        <v>222.0</v>
      </c>
      <c r="N23" s="15">
        <v>27.22221</v>
      </c>
      <c r="O23" s="2"/>
      <c r="P23" s="16" t="b">
        <f t="shared" ref="P23:R23" si="22">C23=K23</f>
        <v>1</v>
      </c>
      <c r="Q23" s="16" t="b">
        <f t="shared" si="22"/>
        <v>1</v>
      </c>
      <c r="R23" s="16" t="b">
        <f t="shared" si="22"/>
        <v>1</v>
      </c>
      <c r="S23" s="17">
        <f t="shared" si="3"/>
        <v>224</v>
      </c>
      <c r="T23" s="18">
        <f t="shared" si="4"/>
        <v>6.78652468</v>
      </c>
      <c r="U23" s="8"/>
      <c r="V23" s="8"/>
      <c r="W23" s="2"/>
      <c r="X23" s="2"/>
      <c r="Y23" s="2"/>
      <c r="Z23" s="2"/>
      <c r="AA23" s="2"/>
      <c r="AB23" s="2"/>
      <c r="AC23" s="2"/>
    </row>
    <row r="24">
      <c r="A24" s="15">
        <v>25370.0</v>
      </c>
      <c r="B24" s="15">
        <v>38.0</v>
      </c>
      <c r="C24" s="15">
        <v>40.0</v>
      </c>
      <c r="D24" s="15">
        <v>13.0</v>
      </c>
      <c r="E24" s="15">
        <v>38.0</v>
      </c>
      <c r="F24" s="15">
        <v>31.4905</v>
      </c>
      <c r="G24" s="15"/>
      <c r="H24" s="5"/>
      <c r="I24" s="15">
        <v>25370.0</v>
      </c>
      <c r="J24" s="15">
        <v>38.0</v>
      </c>
      <c r="K24" s="15">
        <v>40.0</v>
      </c>
      <c r="L24" s="15">
        <v>13.0</v>
      </c>
      <c r="M24" s="15">
        <v>38.0</v>
      </c>
      <c r="N24" s="15">
        <v>22.05184</v>
      </c>
      <c r="O24" s="2"/>
      <c r="P24" s="16" t="b">
        <f t="shared" ref="P24:R24" si="23">C24=K24</f>
        <v>1</v>
      </c>
      <c r="Q24" s="16" t="b">
        <f t="shared" si="23"/>
        <v>1</v>
      </c>
      <c r="R24" s="16" t="b">
        <f t="shared" si="23"/>
        <v>1</v>
      </c>
      <c r="S24" s="17">
        <f t="shared" si="3"/>
        <v>38</v>
      </c>
      <c r="T24" s="18">
        <f t="shared" si="4"/>
        <v>1.428021426</v>
      </c>
      <c r="U24" s="8"/>
      <c r="V24" s="8"/>
      <c r="W24" s="2"/>
      <c r="X24" s="2"/>
      <c r="Y24" s="2"/>
      <c r="Z24" s="2"/>
      <c r="AA24" s="2"/>
      <c r="AB24" s="2"/>
      <c r="AC24" s="2"/>
    </row>
    <row r="25">
      <c r="A25" s="15">
        <v>25371.0</v>
      </c>
      <c r="B25" s="15">
        <v>186.0</v>
      </c>
      <c r="C25" s="15">
        <v>44.0</v>
      </c>
      <c r="D25" s="15">
        <v>55.0</v>
      </c>
      <c r="E25" s="15">
        <v>106.0</v>
      </c>
      <c r="F25" s="15">
        <v>154.0466</v>
      </c>
      <c r="G25" s="15"/>
      <c r="H25" s="5"/>
      <c r="I25" s="15">
        <v>25371.0</v>
      </c>
      <c r="J25" s="15">
        <v>186.0</v>
      </c>
      <c r="K25" s="15">
        <v>44.0</v>
      </c>
      <c r="L25" s="15">
        <v>55.0</v>
      </c>
      <c r="M25" s="15">
        <v>106.0</v>
      </c>
      <c r="N25" s="15">
        <v>44.75888</v>
      </c>
      <c r="O25" s="2"/>
      <c r="P25" s="16" t="b">
        <f t="shared" ref="P25:R25" si="24">C25=K25</f>
        <v>1</v>
      </c>
      <c r="Q25" s="16" t="b">
        <f t="shared" si="24"/>
        <v>1</v>
      </c>
      <c r="R25" s="16" t="b">
        <f t="shared" si="24"/>
        <v>1</v>
      </c>
      <c r="S25" s="17">
        <f t="shared" si="3"/>
        <v>186</v>
      </c>
      <c r="T25" s="18">
        <f t="shared" si="4"/>
        <v>3.441699167</v>
      </c>
      <c r="U25" s="8"/>
      <c r="V25" s="8"/>
      <c r="W25" s="2"/>
      <c r="X25" s="2"/>
      <c r="Y25" s="2"/>
      <c r="Z25" s="2"/>
      <c r="AA25" s="2"/>
      <c r="AB25" s="2"/>
      <c r="AC25" s="2"/>
    </row>
    <row r="26">
      <c r="A26" s="15">
        <v>25372.0</v>
      </c>
      <c r="B26" s="15">
        <v>181.0</v>
      </c>
      <c r="C26" s="15">
        <v>46.0</v>
      </c>
      <c r="D26" s="15">
        <v>14.0</v>
      </c>
      <c r="E26" s="15">
        <v>53.0</v>
      </c>
      <c r="F26" s="15">
        <v>150.9321</v>
      </c>
      <c r="G26" s="15"/>
      <c r="H26" s="5"/>
      <c r="I26" s="15">
        <v>25372.0</v>
      </c>
      <c r="J26" s="15">
        <v>181.0</v>
      </c>
      <c r="K26" s="15">
        <v>46.0</v>
      </c>
      <c r="L26" s="15">
        <v>14.0</v>
      </c>
      <c r="M26" s="15">
        <v>53.0</v>
      </c>
      <c r="N26" s="15">
        <v>31.07738</v>
      </c>
      <c r="O26" s="2"/>
      <c r="P26" s="16" t="b">
        <f t="shared" ref="P26:R26" si="25">C26=K26</f>
        <v>1</v>
      </c>
      <c r="Q26" s="16" t="b">
        <f t="shared" si="25"/>
        <v>1</v>
      </c>
      <c r="R26" s="16" t="b">
        <f t="shared" si="25"/>
        <v>1</v>
      </c>
      <c r="S26" s="17">
        <f t="shared" si="3"/>
        <v>181</v>
      </c>
      <c r="T26" s="18">
        <f t="shared" si="4"/>
        <v>4.856654583</v>
      </c>
      <c r="U26" s="8"/>
      <c r="V26" s="8"/>
      <c r="W26" s="2"/>
      <c r="X26" s="2"/>
      <c r="Y26" s="2"/>
      <c r="Z26" s="2"/>
      <c r="AA26" s="2"/>
      <c r="AB26" s="2"/>
      <c r="AC26" s="2"/>
    </row>
    <row r="27">
      <c r="A27" s="15">
        <v>25373.0</v>
      </c>
      <c r="B27" s="15">
        <v>303.0</v>
      </c>
      <c r="C27" s="15">
        <v>42.0</v>
      </c>
      <c r="D27" s="15">
        <v>16.0</v>
      </c>
      <c r="E27" s="15">
        <v>55.0</v>
      </c>
      <c r="F27" s="15">
        <v>248.7507</v>
      </c>
      <c r="G27" s="15"/>
      <c r="H27" s="5"/>
      <c r="I27" s="15">
        <v>25373.0</v>
      </c>
      <c r="J27" s="15">
        <v>303.0</v>
      </c>
      <c r="K27" s="15">
        <v>42.0</v>
      </c>
      <c r="L27" s="15">
        <v>16.0</v>
      </c>
      <c r="M27" s="15">
        <v>55.0</v>
      </c>
      <c r="N27" s="15">
        <v>34.13322</v>
      </c>
      <c r="O27" s="2"/>
      <c r="P27" s="16" t="b">
        <f t="shared" ref="P27:R27" si="26">C27=K27</f>
        <v>1</v>
      </c>
      <c r="Q27" s="16" t="b">
        <f t="shared" si="26"/>
        <v>1</v>
      </c>
      <c r="R27" s="16" t="b">
        <f t="shared" si="26"/>
        <v>1</v>
      </c>
      <c r="S27" s="17">
        <f t="shared" si="3"/>
        <v>303</v>
      </c>
      <c r="T27" s="18">
        <f t="shared" si="4"/>
        <v>7.287642361</v>
      </c>
      <c r="U27" s="8"/>
      <c r="V27" s="8"/>
      <c r="W27" s="2"/>
      <c r="X27" s="2"/>
      <c r="Y27" s="2"/>
      <c r="Z27" s="2"/>
      <c r="AA27" s="2"/>
      <c r="AB27" s="2"/>
      <c r="AC27" s="2"/>
    </row>
    <row r="28">
      <c r="A28" s="15">
        <v>25374.0</v>
      </c>
      <c r="B28" s="15">
        <v>31.0</v>
      </c>
      <c r="C28" s="15">
        <v>36.0</v>
      </c>
      <c r="D28" s="15">
        <v>4.0</v>
      </c>
      <c r="E28" s="15">
        <v>31.0</v>
      </c>
      <c r="F28" s="15">
        <v>26.5362</v>
      </c>
      <c r="G28" s="15"/>
      <c r="H28" s="5"/>
      <c r="I28" s="15">
        <v>25374.0</v>
      </c>
      <c r="J28" s="15">
        <v>31.0</v>
      </c>
      <c r="K28" s="15">
        <v>36.0</v>
      </c>
      <c r="L28" s="15">
        <v>4.0</v>
      </c>
      <c r="M28" s="15">
        <v>31.0</v>
      </c>
      <c r="N28" s="15">
        <v>20.39398</v>
      </c>
      <c r="O28" s="2"/>
      <c r="P28" s="16" t="b">
        <f t="shared" ref="P28:R28" si="27">C28=K28</f>
        <v>1</v>
      </c>
      <c r="Q28" s="16" t="b">
        <f t="shared" si="27"/>
        <v>1</v>
      </c>
      <c r="R28" s="16" t="b">
        <f t="shared" si="27"/>
        <v>1</v>
      </c>
      <c r="S28" s="17">
        <f t="shared" si="3"/>
        <v>31</v>
      </c>
      <c r="T28" s="18">
        <f t="shared" si="4"/>
        <v>1.301178093</v>
      </c>
      <c r="U28" s="8"/>
      <c r="V28" s="8"/>
      <c r="W28" s="2"/>
      <c r="X28" s="2"/>
      <c r="Y28" s="2"/>
      <c r="Z28" s="2"/>
      <c r="AA28" s="2"/>
      <c r="AB28" s="2"/>
      <c r="AC28" s="2"/>
    </row>
    <row r="29">
      <c r="A29" s="15">
        <v>25375.0</v>
      </c>
      <c r="B29" s="15">
        <v>49.0</v>
      </c>
      <c r="C29" s="15">
        <v>35.0</v>
      </c>
      <c r="D29" s="15">
        <v>5.0</v>
      </c>
      <c r="E29" s="15">
        <v>42.0</v>
      </c>
      <c r="F29" s="15">
        <v>41.9297</v>
      </c>
      <c r="G29" s="15"/>
      <c r="H29" s="5"/>
      <c r="I29" s="15">
        <v>25375.0</v>
      </c>
      <c r="J29" s="15">
        <v>49.0</v>
      </c>
      <c r="K29" s="15">
        <v>35.0</v>
      </c>
      <c r="L29" s="15">
        <v>5.0</v>
      </c>
      <c r="M29" s="15">
        <v>42.0</v>
      </c>
      <c r="N29" s="15">
        <v>23.83872</v>
      </c>
      <c r="O29" s="2"/>
      <c r="P29" s="16" t="b">
        <f t="shared" ref="P29:R29" si="28">C29=K29</f>
        <v>1</v>
      </c>
      <c r="Q29" s="16" t="b">
        <f t="shared" si="28"/>
        <v>1</v>
      </c>
      <c r="R29" s="16" t="b">
        <f t="shared" si="28"/>
        <v>1</v>
      </c>
      <c r="S29" s="17">
        <f t="shared" si="3"/>
        <v>49</v>
      </c>
      <c r="T29" s="18">
        <f t="shared" si="4"/>
        <v>1.758890578</v>
      </c>
      <c r="U29" s="8"/>
      <c r="V29" s="8"/>
      <c r="W29" s="2"/>
      <c r="X29" s="2"/>
      <c r="Y29" s="2"/>
      <c r="Z29" s="2"/>
      <c r="AA29" s="2"/>
      <c r="AB29" s="2"/>
      <c r="AC29" s="2"/>
    </row>
    <row r="30">
      <c r="A30" s="15">
        <v>25376.0</v>
      </c>
      <c r="B30" s="15">
        <v>47.0</v>
      </c>
      <c r="C30" s="15">
        <v>39.0</v>
      </c>
      <c r="D30" s="15">
        <v>5.0</v>
      </c>
      <c r="E30" s="15">
        <v>47.0</v>
      </c>
      <c r="F30" s="15">
        <v>40.0823</v>
      </c>
      <c r="G30" s="15"/>
      <c r="H30" s="5"/>
      <c r="I30" s="15">
        <v>25376.0</v>
      </c>
      <c r="J30" s="15">
        <v>47.0</v>
      </c>
      <c r="K30" s="15">
        <v>39.0</v>
      </c>
      <c r="L30" s="15">
        <v>5.0</v>
      </c>
      <c r="M30" s="15">
        <v>47.0</v>
      </c>
      <c r="N30" s="15">
        <v>26.5175</v>
      </c>
      <c r="O30" s="2"/>
      <c r="P30" s="16" t="b">
        <f t="shared" ref="P30:R30" si="29">C30=K30</f>
        <v>1</v>
      </c>
      <c r="Q30" s="16" t="b">
        <f t="shared" si="29"/>
        <v>1</v>
      </c>
      <c r="R30" s="16" t="b">
        <f t="shared" si="29"/>
        <v>1</v>
      </c>
      <c r="S30" s="17">
        <f t="shared" si="3"/>
        <v>47</v>
      </c>
      <c r="T30" s="18">
        <f t="shared" si="4"/>
        <v>1.511541435</v>
      </c>
      <c r="U30" s="8"/>
      <c r="V30" s="8"/>
      <c r="W30" s="2"/>
      <c r="X30" s="2"/>
      <c r="Y30" s="2"/>
      <c r="Z30" s="2"/>
      <c r="AA30" s="2"/>
      <c r="AB30" s="2"/>
      <c r="AC30" s="2"/>
    </row>
    <row r="31">
      <c r="A31" s="15">
        <v>25377.0</v>
      </c>
      <c r="B31" s="15">
        <v>371.0</v>
      </c>
      <c r="C31" s="15">
        <v>240.0</v>
      </c>
      <c r="D31" s="15">
        <v>134.0</v>
      </c>
      <c r="E31" s="15">
        <v>183.0</v>
      </c>
      <c r="F31" s="15">
        <v>302.9589</v>
      </c>
      <c r="G31" s="15"/>
      <c r="H31" s="5"/>
      <c r="I31" s="15">
        <v>25377.0</v>
      </c>
      <c r="J31" s="15">
        <v>371.0</v>
      </c>
      <c r="K31" s="15">
        <v>240.0</v>
      </c>
      <c r="L31" s="15">
        <v>134.0</v>
      </c>
      <c r="M31" s="15">
        <v>183.0</v>
      </c>
      <c r="N31" s="15">
        <v>35.52906</v>
      </c>
      <c r="O31" s="2"/>
      <c r="P31" s="16" t="b">
        <f t="shared" ref="P31:R31" si="30">C31=K31</f>
        <v>1</v>
      </c>
      <c r="Q31" s="16" t="b">
        <f t="shared" si="30"/>
        <v>1</v>
      </c>
      <c r="R31" s="16" t="b">
        <f t="shared" si="30"/>
        <v>1</v>
      </c>
      <c r="S31" s="17">
        <f t="shared" si="3"/>
        <v>371</v>
      </c>
      <c r="T31" s="18">
        <f t="shared" si="4"/>
        <v>8.527073331</v>
      </c>
      <c r="U31" s="8"/>
      <c r="V31" s="8"/>
      <c r="W31" s="2"/>
      <c r="X31" s="2"/>
      <c r="Y31" s="2"/>
      <c r="Z31" s="2"/>
      <c r="AA31" s="2"/>
      <c r="AB31" s="2"/>
      <c r="AC31" s="2"/>
    </row>
    <row r="32">
      <c r="A32" s="15">
        <v>25378.0</v>
      </c>
      <c r="B32" s="15">
        <v>137.0</v>
      </c>
      <c r="C32" s="15">
        <v>46.0</v>
      </c>
      <c r="D32" s="15">
        <v>86.0</v>
      </c>
      <c r="E32" s="15">
        <v>121.0</v>
      </c>
      <c r="F32" s="15">
        <v>113.1278</v>
      </c>
      <c r="G32" s="15"/>
      <c r="H32" s="5"/>
      <c r="I32" s="15">
        <v>25378.0</v>
      </c>
      <c r="J32" s="15">
        <v>137.0</v>
      </c>
      <c r="K32" s="15">
        <v>46.0</v>
      </c>
      <c r="L32" s="15">
        <v>86.0</v>
      </c>
      <c r="M32" s="15">
        <v>121.0</v>
      </c>
      <c r="N32" s="15">
        <v>26.43661</v>
      </c>
      <c r="O32" s="2"/>
      <c r="P32" s="16" t="b">
        <f t="shared" ref="P32:R32" si="31">C32=K32</f>
        <v>1</v>
      </c>
      <c r="Q32" s="16" t="b">
        <f t="shared" si="31"/>
        <v>1</v>
      </c>
      <c r="R32" s="16" t="b">
        <f t="shared" si="31"/>
        <v>1</v>
      </c>
      <c r="S32" s="17">
        <f t="shared" si="3"/>
        <v>137</v>
      </c>
      <c r="T32" s="18">
        <f t="shared" si="4"/>
        <v>4.279209778</v>
      </c>
      <c r="U32" s="8"/>
      <c r="V32" s="8"/>
      <c r="W32" s="2"/>
      <c r="X32" s="2"/>
      <c r="Y32" s="2"/>
      <c r="Z32" s="2"/>
      <c r="AA32" s="2"/>
      <c r="AB32" s="2"/>
      <c r="AC32" s="2"/>
    </row>
    <row r="33">
      <c r="A33" s="15">
        <v>25379.0</v>
      </c>
      <c r="B33" s="15">
        <v>110.0</v>
      </c>
      <c r="C33" s="15">
        <v>54.0</v>
      </c>
      <c r="D33" s="15">
        <v>38.0</v>
      </c>
      <c r="E33" s="15">
        <v>78.0</v>
      </c>
      <c r="F33" s="15">
        <v>90.9096</v>
      </c>
      <c r="G33" s="15"/>
      <c r="H33" s="5"/>
      <c r="I33" s="15">
        <v>25379.0</v>
      </c>
      <c r="J33" s="15">
        <v>110.0</v>
      </c>
      <c r="K33" s="15">
        <v>54.0</v>
      </c>
      <c r="L33" s="15">
        <v>38.0</v>
      </c>
      <c r="M33" s="15">
        <v>78.0</v>
      </c>
      <c r="N33" s="15">
        <v>27.12387</v>
      </c>
      <c r="O33" s="2"/>
      <c r="P33" s="16" t="b">
        <f t="shared" ref="P33:R33" si="32">C33=K33</f>
        <v>1</v>
      </c>
      <c r="Q33" s="16" t="b">
        <f t="shared" si="32"/>
        <v>1</v>
      </c>
      <c r="R33" s="16" t="b">
        <f t="shared" si="32"/>
        <v>1</v>
      </c>
      <c r="S33" s="17">
        <f t="shared" si="3"/>
        <v>110</v>
      </c>
      <c r="T33" s="18">
        <f t="shared" si="4"/>
        <v>3.351645617</v>
      </c>
      <c r="U33" s="8"/>
      <c r="V33" s="8"/>
      <c r="W33" s="2"/>
      <c r="X33" s="2"/>
      <c r="Y33" s="2"/>
      <c r="Z33" s="2"/>
      <c r="AA33" s="2"/>
      <c r="AB33" s="2"/>
      <c r="AC33" s="2"/>
    </row>
    <row r="34">
      <c r="A34" s="15">
        <v>25380.0</v>
      </c>
      <c r="B34" s="15">
        <v>452.0</v>
      </c>
      <c r="C34" s="15">
        <v>57.0</v>
      </c>
      <c r="D34" s="15">
        <v>180.0</v>
      </c>
      <c r="E34" s="15">
        <v>234.0</v>
      </c>
      <c r="F34" s="15">
        <v>375.9833</v>
      </c>
      <c r="G34" s="15"/>
      <c r="H34" s="5"/>
      <c r="I34" s="15">
        <v>25380.0</v>
      </c>
      <c r="J34" s="15">
        <v>452.0</v>
      </c>
      <c r="K34" s="15">
        <v>57.0</v>
      </c>
      <c r="L34" s="15">
        <v>180.0</v>
      </c>
      <c r="M34" s="15">
        <v>234.0</v>
      </c>
      <c r="N34" s="15">
        <v>38.89974</v>
      </c>
      <c r="O34" s="2"/>
      <c r="P34" s="16" t="b">
        <f t="shared" ref="P34:R34" si="33">C34=K34</f>
        <v>1</v>
      </c>
      <c r="Q34" s="16" t="b">
        <f t="shared" si="33"/>
        <v>1</v>
      </c>
      <c r="R34" s="16" t="b">
        <f t="shared" si="33"/>
        <v>1</v>
      </c>
      <c r="S34" s="17">
        <f t="shared" si="3"/>
        <v>452</v>
      </c>
      <c r="T34" s="18">
        <f t="shared" si="4"/>
        <v>9.665445065</v>
      </c>
      <c r="U34" s="8"/>
      <c r="V34" s="8"/>
      <c r="W34" s="2"/>
      <c r="X34" s="2"/>
      <c r="Y34" s="2"/>
      <c r="Z34" s="2"/>
      <c r="AA34" s="2"/>
      <c r="AB34" s="2"/>
      <c r="AC34" s="2"/>
    </row>
    <row r="35">
      <c r="A35" s="15">
        <v>25381.0</v>
      </c>
      <c r="B35" s="15">
        <v>72.0</v>
      </c>
      <c r="C35" s="15">
        <v>38.0</v>
      </c>
      <c r="D35" s="15">
        <v>14.0</v>
      </c>
      <c r="E35" s="15">
        <v>49.0</v>
      </c>
      <c r="F35" s="15">
        <v>59.7889</v>
      </c>
      <c r="G35" s="15"/>
      <c r="H35" s="5"/>
      <c r="I35" s="15">
        <v>25381.0</v>
      </c>
      <c r="J35" s="15">
        <v>72.0</v>
      </c>
      <c r="K35" s="15">
        <v>38.0</v>
      </c>
      <c r="L35" s="15">
        <v>14.0</v>
      </c>
      <c r="M35" s="15">
        <v>49.0</v>
      </c>
      <c r="N35" s="15">
        <v>25.07805</v>
      </c>
      <c r="O35" s="2"/>
      <c r="P35" s="16" t="b">
        <f t="shared" ref="P35:R35" si="34">C35=K35</f>
        <v>1</v>
      </c>
      <c r="Q35" s="16" t="b">
        <f t="shared" si="34"/>
        <v>1</v>
      </c>
      <c r="R35" s="16" t="b">
        <f t="shared" si="34"/>
        <v>1</v>
      </c>
      <c r="S35" s="17">
        <f t="shared" si="3"/>
        <v>72</v>
      </c>
      <c r="T35" s="18">
        <f t="shared" si="4"/>
        <v>2.3841128</v>
      </c>
      <c r="U35" s="8"/>
      <c r="V35" s="8"/>
      <c r="W35" s="2"/>
      <c r="X35" s="2"/>
      <c r="Y35" s="2"/>
      <c r="Z35" s="2"/>
      <c r="AA35" s="2"/>
      <c r="AB35" s="2"/>
      <c r="AC35" s="2"/>
    </row>
    <row r="36">
      <c r="A36" s="15">
        <v>25382.0</v>
      </c>
      <c r="B36" s="15">
        <v>59.0</v>
      </c>
      <c r="C36" s="15">
        <v>32.0</v>
      </c>
      <c r="D36" s="15">
        <v>17.0</v>
      </c>
      <c r="E36" s="15">
        <v>58.0</v>
      </c>
      <c r="F36" s="15">
        <v>48.3757</v>
      </c>
      <c r="G36" s="15"/>
      <c r="H36" s="5"/>
      <c r="I36" s="15">
        <v>25382.0</v>
      </c>
      <c r="J36" s="15">
        <v>59.0</v>
      </c>
      <c r="K36" s="15">
        <v>32.0</v>
      </c>
      <c r="L36" s="15">
        <v>17.0</v>
      </c>
      <c r="M36" s="15">
        <v>58.0</v>
      </c>
      <c r="N36" s="15">
        <v>24.5104</v>
      </c>
      <c r="O36" s="2"/>
      <c r="P36" s="16" t="b">
        <f t="shared" ref="P36:R36" si="35">C36=K36</f>
        <v>1</v>
      </c>
      <c r="Q36" s="16" t="b">
        <f t="shared" si="35"/>
        <v>1</v>
      </c>
      <c r="R36" s="16" t="b">
        <f t="shared" si="35"/>
        <v>1</v>
      </c>
      <c r="S36" s="17">
        <f t="shared" si="3"/>
        <v>59</v>
      </c>
      <c r="T36" s="18">
        <f t="shared" si="4"/>
        <v>1.97368056</v>
      </c>
      <c r="U36" s="8"/>
      <c r="V36" s="8"/>
      <c r="W36" s="2"/>
      <c r="X36" s="2"/>
      <c r="Y36" s="2"/>
      <c r="Z36" s="2"/>
      <c r="AA36" s="2"/>
      <c r="AB36" s="2"/>
      <c r="AC36" s="2"/>
    </row>
    <row r="37">
      <c r="A37" s="15">
        <v>25383.0</v>
      </c>
      <c r="B37" s="15">
        <v>35.0</v>
      </c>
      <c r="C37" s="15">
        <v>27.0</v>
      </c>
      <c r="D37" s="15">
        <v>7.0</v>
      </c>
      <c r="E37" s="15">
        <v>27.0</v>
      </c>
      <c r="F37" s="15">
        <v>29.1743</v>
      </c>
      <c r="G37" s="15"/>
      <c r="H37" s="5"/>
      <c r="I37" s="15">
        <v>25383.0</v>
      </c>
      <c r="J37" s="15">
        <v>35.0</v>
      </c>
      <c r="K37" s="15">
        <v>27.0</v>
      </c>
      <c r="L37" s="15">
        <v>7.0</v>
      </c>
      <c r="M37" s="15">
        <v>27.0</v>
      </c>
      <c r="N37" s="15">
        <v>18.47603</v>
      </c>
      <c r="O37" s="2"/>
      <c r="P37" s="16" t="b">
        <f t="shared" ref="P37:R37" si="36">C37=K37</f>
        <v>1</v>
      </c>
      <c r="Q37" s="16" t="b">
        <f t="shared" si="36"/>
        <v>1</v>
      </c>
      <c r="R37" s="16" t="b">
        <f t="shared" si="36"/>
        <v>1</v>
      </c>
      <c r="S37" s="17">
        <f t="shared" si="3"/>
        <v>35</v>
      </c>
      <c r="T37" s="18">
        <f t="shared" si="4"/>
        <v>1.579035107</v>
      </c>
      <c r="U37" s="8"/>
      <c r="V37" s="8"/>
      <c r="W37" s="2"/>
      <c r="X37" s="2"/>
      <c r="Y37" s="2"/>
      <c r="Z37" s="2"/>
      <c r="AA37" s="2"/>
      <c r="AB37" s="2"/>
      <c r="AC37" s="2"/>
    </row>
    <row r="38">
      <c r="A38" s="15">
        <v>25384.0</v>
      </c>
      <c r="B38" s="15">
        <v>35.0</v>
      </c>
      <c r="C38" s="15">
        <v>36.0</v>
      </c>
      <c r="D38" s="15">
        <v>1.0</v>
      </c>
      <c r="E38" s="15">
        <v>34.0</v>
      </c>
      <c r="F38" s="15">
        <v>29.0562</v>
      </c>
      <c r="G38" s="15"/>
      <c r="H38" s="5"/>
      <c r="I38" s="15">
        <v>25384.0</v>
      </c>
      <c r="J38" s="15">
        <v>35.0</v>
      </c>
      <c r="K38" s="15">
        <v>36.0</v>
      </c>
      <c r="L38" s="15">
        <v>1.0</v>
      </c>
      <c r="M38" s="15">
        <v>34.0</v>
      </c>
      <c r="N38" s="15">
        <v>22.43687</v>
      </c>
      <c r="O38" s="2"/>
      <c r="P38" s="16" t="b">
        <f t="shared" ref="P38:R38" si="37">C38=K38</f>
        <v>1</v>
      </c>
      <c r="Q38" s="16" t="b">
        <f t="shared" si="37"/>
        <v>1</v>
      </c>
      <c r="R38" s="16" t="b">
        <f t="shared" si="37"/>
        <v>1</v>
      </c>
      <c r="S38" s="17">
        <f t="shared" si="3"/>
        <v>35</v>
      </c>
      <c r="T38" s="18">
        <f t="shared" si="4"/>
        <v>1.295020206</v>
      </c>
      <c r="U38" s="8"/>
      <c r="V38" s="8"/>
      <c r="W38" s="2"/>
      <c r="X38" s="2"/>
      <c r="Y38" s="2"/>
      <c r="Z38" s="2"/>
      <c r="AA38" s="2"/>
      <c r="AB38" s="2"/>
      <c r="AC38" s="2"/>
    </row>
    <row r="39">
      <c r="A39" s="15">
        <v>25385.0</v>
      </c>
      <c r="B39" s="15">
        <v>132.0</v>
      </c>
      <c r="C39" s="15">
        <v>50.0</v>
      </c>
      <c r="D39" s="15">
        <v>44.0</v>
      </c>
      <c r="E39" s="15">
        <v>82.0</v>
      </c>
      <c r="F39" s="15">
        <v>109.0408</v>
      </c>
      <c r="G39" s="15"/>
      <c r="H39" s="5"/>
      <c r="I39" s="15">
        <v>25385.0</v>
      </c>
      <c r="J39" s="15">
        <v>132.0</v>
      </c>
      <c r="K39" s="15">
        <v>50.0</v>
      </c>
      <c r="L39" s="15">
        <v>44.0</v>
      </c>
      <c r="M39" s="15">
        <v>82.0</v>
      </c>
      <c r="N39" s="15">
        <v>26.15706</v>
      </c>
      <c r="O39" s="2"/>
      <c r="P39" s="16" t="b">
        <f t="shared" ref="P39:R39" si="38">C39=K39</f>
        <v>1</v>
      </c>
      <c r="Q39" s="16" t="b">
        <f t="shared" si="38"/>
        <v>1</v>
      </c>
      <c r="R39" s="16" t="b">
        <f t="shared" si="38"/>
        <v>1</v>
      </c>
      <c r="S39" s="17">
        <f t="shared" si="3"/>
        <v>132</v>
      </c>
      <c r="T39" s="18">
        <f t="shared" si="4"/>
        <v>4.1686948</v>
      </c>
      <c r="U39" s="8"/>
      <c r="V39" s="8"/>
      <c r="W39" s="2"/>
      <c r="X39" s="2"/>
      <c r="Y39" s="2"/>
      <c r="Z39" s="2"/>
      <c r="AA39" s="2"/>
      <c r="AB39" s="2"/>
      <c r="AC39" s="2"/>
    </row>
    <row r="40">
      <c r="A40" s="15">
        <v>25386.0</v>
      </c>
      <c r="B40" s="15">
        <v>43.0</v>
      </c>
      <c r="C40" s="15">
        <v>31.0</v>
      </c>
      <c r="D40" s="15">
        <v>6.0</v>
      </c>
      <c r="E40" s="15">
        <v>30.0</v>
      </c>
      <c r="F40" s="15">
        <v>36.0772</v>
      </c>
      <c r="G40" s="15"/>
      <c r="H40" s="5"/>
      <c r="I40" s="15">
        <v>25386.0</v>
      </c>
      <c r="J40" s="15">
        <v>43.0</v>
      </c>
      <c r="K40" s="15">
        <v>31.0</v>
      </c>
      <c r="L40" s="15">
        <v>6.0</v>
      </c>
      <c r="M40" s="15">
        <v>30.0</v>
      </c>
      <c r="N40" s="15">
        <v>20.22698</v>
      </c>
      <c r="O40" s="2"/>
      <c r="P40" s="16" t="b">
        <f t="shared" ref="P40:R40" si="39">C40=K40</f>
        <v>1</v>
      </c>
      <c r="Q40" s="16" t="b">
        <f t="shared" si="39"/>
        <v>1</v>
      </c>
      <c r="R40" s="16" t="b">
        <f t="shared" si="39"/>
        <v>1</v>
      </c>
      <c r="S40" s="17">
        <f t="shared" si="3"/>
        <v>43</v>
      </c>
      <c r="T40" s="18">
        <f t="shared" si="4"/>
        <v>1.783617722</v>
      </c>
      <c r="U40" s="8"/>
      <c r="V40" s="8"/>
      <c r="W40" s="2"/>
      <c r="X40" s="2"/>
      <c r="Y40" s="2"/>
      <c r="Z40" s="2"/>
      <c r="AA40" s="2"/>
      <c r="AB40" s="2"/>
      <c r="AC40" s="2"/>
    </row>
    <row r="41">
      <c r="A41" s="15">
        <v>25387.0</v>
      </c>
      <c r="B41" s="15">
        <v>329.0</v>
      </c>
      <c r="C41" s="15">
        <v>46.0</v>
      </c>
      <c r="D41" s="15">
        <v>7.0</v>
      </c>
      <c r="E41" s="15">
        <v>55.0</v>
      </c>
      <c r="F41" s="15">
        <v>271.6693</v>
      </c>
      <c r="G41" s="15"/>
      <c r="H41" s="5"/>
      <c r="I41" s="15">
        <v>25387.0</v>
      </c>
      <c r="J41" s="15">
        <v>329.0</v>
      </c>
      <c r="K41" s="15">
        <v>46.0</v>
      </c>
      <c r="L41" s="15">
        <v>7.0</v>
      </c>
      <c r="M41" s="15">
        <v>55.0</v>
      </c>
      <c r="N41" s="15">
        <v>33.31686</v>
      </c>
      <c r="O41" s="2"/>
      <c r="P41" s="16" t="b">
        <f t="shared" ref="P41:R41" si="40">C41=K41</f>
        <v>1</v>
      </c>
      <c r="Q41" s="16" t="b">
        <f t="shared" si="40"/>
        <v>1</v>
      </c>
      <c r="R41" s="16" t="b">
        <f t="shared" si="40"/>
        <v>1</v>
      </c>
      <c r="S41" s="17">
        <f t="shared" si="3"/>
        <v>329</v>
      </c>
      <c r="T41" s="18">
        <f t="shared" si="4"/>
        <v>8.154108761</v>
      </c>
      <c r="U41" s="8"/>
      <c r="V41" s="8"/>
      <c r="W41" s="2"/>
      <c r="X41" s="2"/>
      <c r="Y41" s="2"/>
      <c r="Z41" s="2"/>
      <c r="AA41" s="2"/>
      <c r="AB41" s="2"/>
      <c r="AC41" s="2"/>
    </row>
    <row r="42">
      <c r="A42" s="15">
        <v>25388.0</v>
      </c>
      <c r="B42" s="15">
        <v>443.0</v>
      </c>
      <c r="C42" s="15">
        <v>50.0</v>
      </c>
      <c r="D42" s="15">
        <v>261.0</v>
      </c>
      <c r="E42" s="15">
        <v>303.0</v>
      </c>
      <c r="F42" s="15">
        <v>366.4813</v>
      </c>
      <c r="G42" s="15"/>
      <c r="H42" s="5"/>
      <c r="I42" s="15">
        <v>25388.0</v>
      </c>
      <c r="J42" s="15">
        <v>443.0</v>
      </c>
      <c r="K42" s="15">
        <v>50.0</v>
      </c>
      <c r="L42" s="15">
        <v>261.0</v>
      </c>
      <c r="M42" s="15">
        <v>303.0</v>
      </c>
      <c r="N42" s="15">
        <v>36.95821</v>
      </c>
      <c r="O42" s="2"/>
      <c r="P42" s="16" t="b">
        <f t="shared" ref="P42:R42" si="41">C42=K42</f>
        <v>1</v>
      </c>
      <c r="Q42" s="16" t="b">
        <f t="shared" si="41"/>
        <v>1</v>
      </c>
      <c r="R42" s="16" t="b">
        <f t="shared" si="41"/>
        <v>1</v>
      </c>
      <c r="S42" s="17">
        <f t="shared" si="3"/>
        <v>443</v>
      </c>
      <c r="T42" s="18">
        <f t="shared" si="4"/>
        <v>9.916099833</v>
      </c>
      <c r="U42" s="8"/>
      <c r="V42" s="8"/>
      <c r="W42" s="2"/>
      <c r="X42" s="2"/>
      <c r="Y42" s="2"/>
      <c r="Z42" s="2"/>
      <c r="AA42" s="2"/>
      <c r="AB42" s="2"/>
      <c r="AC42" s="2"/>
    </row>
    <row r="43">
      <c r="A43" s="15">
        <v>25389.0</v>
      </c>
      <c r="B43" s="15">
        <v>43.0</v>
      </c>
      <c r="C43" s="15">
        <v>28.0</v>
      </c>
      <c r="D43" s="15">
        <v>10.0</v>
      </c>
      <c r="E43" s="15">
        <v>41.0</v>
      </c>
      <c r="F43" s="15">
        <v>35.6433</v>
      </c>
      <c r="G43" s="15"/>
      <c r="H43" s="5"/>
      <c r="I43" s="15">
        <v>25389.0</v>
      </c>
      <c r="J43" s="15">
        <v>43.0</v>
      </c>
      <c r="K43" s="15">
        <v>28.0</v>
      </c>
      <c r="L43" s="15">
        <v>10.0</v>
      </c>
      <c r="M43" s="15">
        <v>41.0</v>
      </c>
      <c r="N43" s="15">
        <v>23.18013</v>
      </c>
      <c r="O43" s="2"/>
      <c r="P43" s="16" t="b">
        <f t="shared" ref="P43:R43" si="42">C43=K43</f>
        <v>1</v>
      </c>
      <c r="Q43" s="16" t="b">
        <f t="shared" si="42"/>
        <v>1</v>
      </c>
      <c r="R43" s="16" t="b">
        <f t="shared" si="42"/>
        <v>1</v>
      </c>
      <c r="S43" s="17">
        <f t="shared" si="3"/>
        <v>43</v>
      </c>
      <c r="T43" s="18">
        <f t="shared" si="4"/>
        <v>1.537666096</v>
      </c>
      <c r="U43" s="8"/>
      <c r="V43" s="8"/>
      <c r="W43" s="2"/>
      <c r="X43" s="2"/>
      <c r="Y43" s="2"/>
      <c r="Z43" s="2"/>
      <c r="AA43" s="2"/>
      <c r="AB43" s="2"/>
      <c r="AC43" s="2"/>
    </row>
    <row r="44">
      <c r="A44" s="15">
        <v>25390.0</v>
      </c>
      <c r="B44" s="15">
        <v>174.0</v>
      </c>
      <c r="C44" s="15">
        <v>40.0</v>
      </c>
      <c r="D44" s="15">
        <v>56.0</v>
      </c>
      <c r="E44" s="15">
        <v>92.0</v>
      </c>
      <c r="F44" s="15">
        <v>143.1628</v>
      </c>
      <c r="G44" s="15"/>
      <c r="H44" s="5"/>
      <c r="I44" s="15">
        <v>25390.0</v>
      </c>
      <c r="J44" s="15">
        <v>174.0</v>
      </c>
      <c r="K44" s="15">
        <v>40.0</v>
      </c>
      <c r="L44" s="15">
        <v>56.0</v>
      </c>
      <c r="M44" s="15">
        <v>92.0</v>
      </c>
      <c r="N44" s="15">
        <v>26.70614</v>
      </c>
      <c r="O44" s="2"/>
      <c r="P44" s="16" t="b">
        <f t="shared" ref="P44:R44" si="43">C44=K44</f>
        <v>1</v>
      </c>
      <c r="Q44" s="16" t="b">
        <f t="shared" si="43"/>
        <v>1</v>
      </c>
      <c r="R44" s="16" t="b">
        <f t="shared" si="43"/>
        <v>1</v>
      </c>
      <c r="S44" s="17">
        <f t="shared" si="3"/>
        <v>174</v>
      </c>
      <c r="T44" s="18">
        <f t="shared" si="4"/>
        <v>5.360669868</v>
      </c>
      <c r="U44" s="8"/>
      <c r="V44" s="8"/>
      <c r="W44" s="2"/>
      <c r="X44" s="2"/>
      <c r="Y44" s="2"/>
      <c r="Z44" s="2"/>
      <c r="AA44" s="2"/>
      <c r="AB44" s="2"/>
      <c r="AC44" s="2"/>
    </row>
    <row r="45">
      <c r="A45" s="15">
        <v>25391.0</v>
      </c>
      <c r="B45" s="15">
        <v>46.0</v>
      </c>
      <c r="C45" s="15">
        <v>27.0</v>
      </c>
      <c r="D45" s="15">
        <v>24.0</v>
      </c>
      <c r="E45" s="15">
        <v>42.0</v>
      </c>
      <c r="F45" s="15">
        <v>38.1139</v>
      </c>
      <c r="G45" s="15"/>
      <c r="H45" s="5"/>
      <c r="I45" s="15">
        <v>25391.0</v>
      </c>
      <c r="J45" s="15">
        <v>46.0</v>
      </c>
      <c r="K45" s="15">
        <v>27.0</v>
      </c>
      <c r="L45" s="15">
        <v>24.0</v>
      </c>
      <c r="M45" s="15">
        <v>42.0</v>
      </c>
      <c r="N45" s="15">
        <v>18.84967</v>
      </c>
      <c r="O45" s="2"/>
      <c r="P45" s="16" t="b">
        <f t="shared" ref="P45:R45" si="44">C45=K45</f>
        <v>1</v>
      </c>
      <c r="Q45" s="16" t="b">
        <f t="shared" si="44"/>
        <v>1</v>
      </c>
      <c r="R45" s="16" t="b">
        <f t="shared" si="44"/>
        <v>1</v>
      </c>
      <c r="S45" s="17">
        <f t="shared" si="3"/>
        <v>46</v>
      </c>
      <c r="T45" s="18">
        <f t="shared" si="4"/>
        <v>2.021992958</v>
      </c>
      <c r="U45" s="8"/>
      <c r="V45" s="8"/>
      <c r="W45" s="2"/>
      <c r="X45" s="2"/>
      <c r="Y45" s="2"/>
      <c r="Z45" s="2"/>
      <c r="AA45" s="2"/>
      <c r="AB45" s="2"/>
      <c r="AC45" s="2"/>
    </row>
    <row r="46">
      <c r="A46" s="15">
        <v>25392.0</v>
      </c>
      <c r="B46" s="15">
        <v>100.0</v>
      </c>
      <c r="C46" s="15">
        <v>40.0</v>
      </c>
      <c r="D46" s="15">
        <v>14.0</v>
      </c>
      <c r="E46" s="15">
        <v>53.0</v>
      </c>
      <c r="F46" s="15">
        <v>82.8549</v>
      </c>
      <c r="G46" s="15"/>
      <c r="H46" s="5"/>
      <c r="I46" s="15">
        <v>25392.0</v>
      </c>
      <c r="J46" s="15">
        <v>100.0</v>
      </c>
      <c r="K46" s="15">
        <v>40.0</v>
      </c>
      <c r="L46" s="15">
        <v>14.0</v>
      </c>
      <c r="M46" s="15">
        <v>53.0</v>
      </c>
      <c r="N46" s="15">
        <v>25.57245</v>
      </c>
      <c r="O46" s="2"/>
      <c r="P46" s="16" t="b">
        <f t="shared" ref="P46:R46" si="45">C46=K46</f>
        <v>1</v>
      </c>
      <c r="Q46" s="16" t="b">
        <f t="shared" si="45"/>
        <v>1</v>
      </c>
      <c r="R46" s="16" t="b">
        <f t="shared" si="45"/>
        <v>1</v>
      </c>
      <c r="S46" s="17">
        <f t="shared" si="3"/>
        <v>100</v>
      </c>
      <c r="T46" s="18">
        <f t="shared" si="4"/>
        <v>3.240006335</v>
      </c>
      <c r="U46" s="8"/>
      <c r="V46" s="8"/>
      <c r="W46" s="2"/>
      <c r="X46" s="2"/>
      <c r="Y46" s="2"/>
      <c r="Z46" s="2"/>
      <c r="AA46" s="2"/>
      <c r="AB46" s="2"/>
      <c r="AC46" s="2"/>
    </row>
    <row r="47">
      <c r="A47" s="15">
        <v>25393.0</v>
      </c>
      <c r="B47" s="15">
        <v>274.0</v>
      </c>
      <c r="C47" s="15">
        <v>62.0</v>
      </c>
      <c r="D47" s="15">
        <v>8.0</v>
      </c>
      <c r="E47" s="15">
        <v>51.0</v>
      </c>
      <c r="F47" s="15">
        <v>234.8608</v>
      </c>
      <c r="G47" s="15"/>
      <c r="H47" s="5"/>
      <c r="I47" s="15">
        <v>25393.0</v>
      </c>
      <c r="J47" s="15">
        <v>274.0</v>
      </c>
      <c r="K47" s="15">
        <v>62.0</v>
      </c>
      <c r="L47" s="15">
        <v>8.0</v>
      </c>
      <c r="M47" s="15">
        <v>51.0</v>
      </c>
      <c r="N47" s="15">
        <v>31.69677</v>
      </c>
      <c r="O47" s="2"/>
      <c r="P47" s="16" t="b">
        <f t="shared" ref="P47:R47" si="46">C47=K47</f>
        <v>1</v>
      </c>
      <c r="Q47" s="16" t="b">
        <f t="shared" si="46"/>
        <v>1</v>
      </c>
      <c r="R47" s="16" t="b">
        <f t="shared" si="46"/>
        <v>1</v>
      </c>
      <c r="S47" s="17">
        <f t="shared" si="3"/>
        <v>274</v>
      </c>
      <c r="T47" s="18">
        <f t="shared" si="4"/>
        <v>7.40961303</v>
      </c>
      <c r="U47" s="8"/>
      <c r="V47" s="8"/>
      <c r="W47" s="2"/>
      <c r="X47" s="2"/>
      <c r="Y47" s="2"/>
      <c r="Z47" s="2"/>
      <c r="AA47" s="2"/>
      <c r="AB47" s="2"/>
      <c r="AC47" s="2"/>
    </row>
    <row r="48">
      <c r="A48" s="15">
        <v>25394.0</v>
      </c>
      <c r="B48" s="15">
        <v>36.0</v>
      </c>
      <c r="C48" s="15">
        <v>30.0</v>
      </c>
      <c r="D48" s="15">
        <v>14.0</v>
      </c>
      <c r="E48" s="15">
        <v>29.0</v>
      </c>
      <c r="F48" s="15">
        <v>30.79</v>
      </c>
      <c r="G48" s="15"/>
      <c r="H48" s="5"/>
      <c r="I48" s="15">
        <v>25394.0</v>
      </c>
      <c r="J48" s="15">
        <v>36.0</v>
      </c>
      <c r="K48" s="15">
        <v>30.0</v>
      </c>
      <c r="L48" s="15">
        <v>14.0</v>
      </c>
      <c r="M48" s="15">
        <v>29.0</v>
      </c>
      <c r="N48" s="15">
        <v>18.20262</v>
      </c>
      <c r="O48" s="2"/>
      <c r="P48" s="16" t="b">
        <f t="shared" ref="P48:R48" si="47">C48=K48</f>
        <v>1</v>
      </c>
      <c r="Q48" s="16" t="b">
        <f t="shared" si="47"/>
        <v>1</v>
      </c>
      <c r="R48" s="16" t="b">
        <f t="shared" si="47"/>
        <v>1</v>
      </c>
      <c r="S48" s="17">
        <f t="shared" si="3"/>
        <v>36</v>
      </c>
      <c r="T48" s="18">
        <f t="shared" si="4"/>
        <v>1.691514738</v>
      </c>
      <c r="U48" s="8"/>
      <c r="V48" s="8"/>
      <c r="W48" s="2"/>
      <c r="X48" s="2"/>
      <c r="Y48" s="2"/>
      <c r="Z48" s="2"/>
      <c r="AA48" s="2"/>
      <c r="AB48" s="2"/>
      <c r="AC48" s="2"/>
    </row>
    <row r="49">
      <c r="A49" s="15">
        <v>25395.0</v>
      </c>
      <c r="B49" s="15">
        <v>778.0</v>
      </c>
      <c r="C49" s="15">
        <v>53.0</v>
      </c>
      <c r="D49" s="15">
        <v>508.0</v>
      </c>
      <c r="E49" s="15">
        <v>550.0</v>
      </c>
      <c r="F49" s="15">
        <v>654.607</v>
      </c>
      <c r="G49" s="15"/>
      <c r="H49" s="5"/>
      <c r="I49" s="15">
        <v>25395.0</v>
      </c>
      <c r="J49" s="15">
        <v>778.0</v>
      </c>
      <c r="K49" s="15">
        <v>53.0</v>
      </c>
      <c r="L49" s="15">
        <v>508.0</v>
      </c>
      <c r="M49" s="15">
        <v>550.0</v>
      </c>
      <c r="N49" s="15">
        <v>45.31133</v>
      </c>
      <c r="O49" s="2"/>
      <c r="P49" s="16" t="b">
        <f t="shared" ref="P49:R49" si="48">C49=K49</f>
        <v>1</v>
      </c>
      <c r="Q49" s="16" t="b">
        <f t="shared" si="48"/>
        <v>1</v>
      </c>
      <c r="R49" s="16" t="b">
        <f t="shared" si="48"/>
        <v>1</v>
      </c>
      <c r="S49" s="17">
        <f t="shared" si="3"/>
        <v>778</v>
      </c>
      <c r="T49" s="18">
        <f t="shared" si="4"/>
        <v>14.44687234</v>
      </c>
      <c r="U49" s="8"/>
      <c r="V49" s="8"/>
      <c r="W49" s="2"/>
      <c r="X49" s="2"/>
      <c r="Y49" s="2"/>
      <c r="Z49" s="2"/>
      <c r="AA49" s="2"/>
      <c r="AB49" s="2"/>
      <c r="AC49" s="2"/>
    </row>
    <row r="50">
      <c r="A50" s="15">
        <v>25396.0</v>
      </c>
      <c r="B50" s="15">
        <v>311.0</v>
      </c>
      <c r="C50" s="15">
        <v>53.0</v>
      </c>
      <c r="D50" s="15">
        <v>179.0</v>
      </c>
      <c r="E50" s="15">
        <v>227.0</v>
      </c>
      <c r="F50" s="15">
        <v>257.7593</v>
      </c>
      <c r="G50" s="15"/>
      <c r="H50" s="5"/>
      <c r="I50" s="15">
        <v>25396.0</v>
      </c>
      <c r="J50" s="15">
        <v>311.0</v>
      </c>
      <c r="K50" s="15">
        <v>53.0</v>
      </c>
      <c r="L50" s="15">
        <v>179.0</v>
      </c>
      <c r="M50" s="15">
        <v>227.0</v>
      </c>
      <c r="N50" s="15">
        <v>32.49971</v>
      </c>
      <c r="O50" s="2"/>
      <c r="P50" s="16" t="b">
        <f t="shared" ref="P50:R50" si="49">C50=K50</f>
        <v>1</v>
      </c>
      <c r="Q50" s="16" t="b">
        <f t="shared" si="49"/>
        <v>1</v>
      </c>
      <c r="R50" s="16" t="b">
        <f t="shared" si="49"/>
        <v>1</v>
      </c>
      <c r="S50" s="17">
        <f t="shared" si="3"/>
        <v>311</v>
      </c>
      <c r="T50" s="18">
        <f t="shared" si="4"/>
        <v>7.931126155</v>
      </c>
      <c r="U50" s="8"/>
      <c r="V50" s="8"/>
      <c r="W50" s="2"/>
      <c r="X50" s="2"/>
      <c r="Y50" s="2"/>
      <c r="Z50" s="2"/>
      <c r="AA50" s="2"/>
      <c r="AB50" s="2"/>
      <c r="AC50" s="2"/>
    </row>
    <row r="51">
      <c r="A51" s="15">
        <v>25397.0</v>
      </c>
      <c r="B51" s="15">
        <v>48.0</v>
      </c>
      <c r="C51" s="15">
        <v>27.0</v>
      </c>
      <c r="D51" s="15">
        <v>17.0</v>
      </c>
      <c r="E51" s="15">
        <v>47.0</v>
      </c>
      <c r="F51" s="15">
        <v>40.4761</v>
      </c>
      <c r="G51" s="15"/>
      <c r="H51" s="5"/>
      <c r="I51" s="15">
        <v>25397.0</v>
      </c>
      <c r="J51" s="15">
        <v>48.0</v>
      </c>
      <c r="K51" s="15">
        <v>27.0</v>
      </c>
      <c r="L51" s="15">
        <v>17.0</v>
      </c>
      <c r="M51" s="15">
        <v>47.0</v>
      </c>
      <c r="N51" s="15">
        <v>21.30432</v>
      </c>
      <c r="O51" s="2"/>
      <c r="P51" s="16" t="b">
        <f t="shared" ref="P51:R51" si="50">C51=K51</f>
        <v>1</v>
      </c>
      <c r="Q51" s="16" t="b">
        <f t="shared" si="50"/>
        <v>1</v>
      </c>
      <c r="R51" s="16" t="b">
        <f t="shared" si="50"/>
        <v>1</v>
      </c>
      <c r="S51" s="17">
        <f t="shared" si="3"/>
        <v>48</v>
      </c>
      <c r="T51" s="18">
        <f t="shared" si="4"/>
        <v>1.899901053</v>
      </c>
      <c r="U51" s="8"/>
      <c r="V51" s="8"/>
      <c r="W51" s="2"/>
      <c r="X51" s="2"/>
      <c r="Y51" s="2"/>
      <c r="Z51" s="2"/>
      <c r="AA51" s="2"/>
      <c r="AB51" s="2"/>
      <c r="AC51" s="2"/>
    </row>
    <row r="52">
      <c r="A52" s="15">
        <v>25398.0</v>
      </c>
      <c r="B52" s="15">
        <v>159.0</v>
      </c>
      <c r="C52" s="15">
        <v>51.0</v>
      </c>
      <c r="D52" s="15">
        <v>108.0</v>
      </c>
      <c r="E52" s="15">
        <v>150.0</v>
      </c>
      <c r="F52" s="15">
        <v>133.1673</v>
      </c>
      <c r="G52" s="15"/>
      <c r="H52" s="5"/>
      <c r="I52" s="15">
        <v>25398.0</v>
      </c>
      <c r="J52" s="15">
        <v>159.0</v>
      </c>
      <c r="K52" s="15">
        <v>51.0</v>
      </c>
      <c r="L52" s="15">
        <v>108.0</v>
      </c>
      <c r="M52" s="15">
        <v>150.0</v>
      </c>
      <c r="N52" s="15">
        <v>29.2281</v>
      </c>
      <c r="O52" s="2"/>
      <c r="P52" s="16" t="b">
        <f t="shared" ref="P52:R52" si="51">C52=K52</f>
        <v>1</v>
      </c>
      <c r="Q52" s="16" t="b">
        <f t="shared" si="51"/>
        <v>1</v>
      </c>
      <c r="R52" s="16" t="b">
        <f t="shared" si="51"/>
        <v>1</v>
      </c>
      <c r="S52" s="17">
        <f t="shared" si="3"/>
        <v>159</v>
      </c>
      <c r="T52" s="18">
        <f t="shared" si="4"/>
        <v>4.556139469</v>
      </c>
      <c r="U52" s="8"/>
      <c r="V52" s="8"/>
      <c r="W52" s="2"/>
      <c r="X52" s="2"/>
      <c r="Y52" s="2"/>
      <c r="Z52" s="2"/>
      <c r="AA52" s="2"/>
      <c r="AB52" s="2"/>
      <c r="AC52" s="2"/>
    </row>
    <row r="53">
      <c r="A53" s="15">
        <v>25399.0</v>
      </c>
      <c r="B53" s="15">
        <v>86.0</v>
      </c>
      <c r="C53" s="15">
        <v>44.0</v>
      </c>
      <c r="D53" s="15">
        <v>16.0</v>
      </c>
      <c r="E53" s="15">
        <v>54.0</v>
      </c>
      <c r="F53" s="15">
        <v>71.2142</v>
      </c>
      <c r="G53" s="15"/>
      <c r="H53" s="5"/>
      <c r="I53" s="15">
        <v>25399.0</v>
      </c>
      <c r="J53" s="15">
        <v>86.0</v>
      </c>
      <c r="K53" s="15">
        <v>44.0</v>
      </c>
      <c r="L53" s="15">
        <v>16.0</v>
      </c>
      <c r="M53" s="15">
        <v>54.0</v>
      </c>
      <c r="N53" s="15">
        <v>24.97011</v>
      </c>
      <c r="O53" s="2"/>
      <c r="P53" s="16" t="b">
        <f t="shared" ref="P53:R53" si="52">C53=K53</f>
        <v>1</v>
      </c>
      <c r="Q53" s="16" t="b">
        <f t="shared" si="52"/>
        <v>1</v>
      </c>
      <c r="R53" s="16" t="b">
        <f t="shared" si="52"/>
        <v>1</v>
      </c>
      <c r="S53" s="17">
        <f t="shared" si="3"/>
        <v>86</v>
      </c>
      <c r="T53" s="18">
        <f t="shared" si="4"/>
        <v>2.851977825</v>
      </c>
      <c r="U53" s="8"/>
      <c r="V53" s="8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5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5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5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5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5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5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5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5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5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5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5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5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5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5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5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5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5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5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5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5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5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5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5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5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5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5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5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5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5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5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5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5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5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5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5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5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5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5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5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5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5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5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5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5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5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5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5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5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5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5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5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5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5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5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5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5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5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5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5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5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5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5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5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5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5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5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5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5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5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5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5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5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5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5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5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5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5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5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5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5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5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5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5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5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5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5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5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5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5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5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5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5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5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5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5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5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5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5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5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5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5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5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5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5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5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5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5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5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5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5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5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5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5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5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5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5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5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5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5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5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5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5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5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5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5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5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5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5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5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5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5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5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5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5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5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5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5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5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5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5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5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5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5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5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5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5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5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5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5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5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5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5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5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5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5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5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5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5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5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5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5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5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5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5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5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5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5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5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5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5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5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5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5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5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5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5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5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5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5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5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5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5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5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5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5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5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5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5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5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5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5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5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5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5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5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5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5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5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5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5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5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5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5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5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5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5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5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5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5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5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5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5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5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5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5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5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5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5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5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5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5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5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5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5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5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5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5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5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5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5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5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5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5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5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5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5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5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5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5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5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5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5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5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5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5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5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5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5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5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5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5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5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5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5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5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5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5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5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5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5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5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5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5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5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5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5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5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5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5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5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5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5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5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5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5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5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5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5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5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5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5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5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5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5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5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5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5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5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5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5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5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5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5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5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5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5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5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5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5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5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5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5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5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5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5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5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5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5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5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5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5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5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5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5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5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5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5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5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5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5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5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5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5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5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5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5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5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5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5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5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5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5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5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5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5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5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5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5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5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5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5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5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5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5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5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5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5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5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5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5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5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5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5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5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5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5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5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5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5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5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5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5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5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5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5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5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5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5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5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5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5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5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5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5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5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5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5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5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5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5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5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5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5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5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5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5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5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5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5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5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5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5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5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5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5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5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5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5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5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5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5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5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5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5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5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5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5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5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5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5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5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5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5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5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5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5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5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5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5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5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5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5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5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5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5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5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5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5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5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5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5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5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5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5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5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5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5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5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5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5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5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5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5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5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5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5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5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5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5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5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5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5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5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5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5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5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5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5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5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5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5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5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5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5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5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5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5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5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5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5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5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5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5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5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5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5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5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5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5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5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5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5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5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5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5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5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5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5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5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5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5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5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5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5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5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5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5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5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5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5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5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5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5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5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5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5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5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5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5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5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5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5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5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5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5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5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5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5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5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5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5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5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5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5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5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5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5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5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5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5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5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5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5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5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5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5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5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5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5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5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5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5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5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5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5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5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5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5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5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5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5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5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5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5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5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5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5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5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5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5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5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5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5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5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5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5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5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5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5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5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5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5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5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5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5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5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5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5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5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5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5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5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5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5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5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5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5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5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5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5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5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5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5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5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5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5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5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5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5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5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5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5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5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5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5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5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5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5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5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5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5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5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5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5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5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5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5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5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5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5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5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5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5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5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5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5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5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5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5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5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5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5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5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5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5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5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5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5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5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5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5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5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5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5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5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5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5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5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5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5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5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5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5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5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5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5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5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5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5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5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5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5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5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5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5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5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5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5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5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5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5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5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5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5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5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5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5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5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5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5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5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5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5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5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5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5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5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5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5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5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5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5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5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5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5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5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5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5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5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5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5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5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5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5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5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5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5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5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5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5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5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5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5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5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5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5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5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5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5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5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5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5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5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5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5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5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5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5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5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5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5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5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5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5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5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O1"/>
    <mergeCell ref="A2:G2"/>
    <mergeCell ref="I2:O2"/>
    <mergeCell ref="P2:R2"/>
    <mergeCell ref="T2:V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35</v>
      </c>
      <c r="J1" s="2"/>
      <c r="K1" s="3" t="s">
        <v>36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4" t="s">
        <v>2</v>
      </c>
      <c r="H2" s="5"/>
      <c r="I2" s="6" t="s">
        <v>3</v>
      </c>
      <c r="P2" s="7" t="s">
        <v>4</v>
      </c>
      <c r="S2" s="8"/>
      <c r="T2" s="9" t="s">
        <v>5</v>
      </c>
      <c r="W2" s="2"/>
      <c r="X2" s="2"/>
      <c r="Y2" s="2"/>
      <c r="Z2" s="2"/>
      <c r="AA2" s="2"/>
      <c r="AB2" s="2"/>
      <c r="AC2" s="2"/>
    </row>
    <row r="3">
      <c r="A3" s="10" t="s">
        <v>6</v>
      </c>
      <c r="B3" s="10" t="s">
        <v>7</v>
      </c>
      <c r="C3" s="10" t="s">
        <v>8</v>
      </c>
      <c r="D3" s="10" t="s">
        <v>9</v>
      </c>
      <c r="E3" s="10" t="s">
        <v>10</v>
      </c>
      <c r="F3" s="11" t="s">
        <v>11</v>
      </c>
      <c r="G3" s="11"/>
      <c r="H3" s="12" t="s">
        <v>12</v>
      </c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  <c r="N3" s="11" t="s">
        <v>11</v>
      </c>
      <c r="O3" s="11" t="s">
        <v>20</v>
      </c>
      <c r="P3" s="13" t="s">
        <v>8</v>
      </c>
      <c r="Q3" s="13" t="s">
        <v>13</v>
      </c>
      <c r="R3" s="13" t="s">
        <v>10</v>
      </c>
      <c r="S3" s="13" t="s">
        <v>7</v>
      </c>
      <c r="T3" s="14" t="s">
        <v>5</v>
      </c>
      <c r="U3" s="8"/>
      <c r="V3" s="8"/>
      <c r="W3" s="2"/>
      <c r="X3" s="2"/>
      <c r="Y3" s="2"/>
      <c r="Z3" s="2"/>
      <c r="AA3" s="2"/>
      <c r="AB3" s="2"/>
      <c r="AC3" s="2"/>
    </row>
    <row r="4">
      <c r="A4" s="15">
        <v>31450.0</v>
      </c>
      <c r="B4" s="15">
        <v>382.0</v>
      </c>
      <c r="C4" s="15">
        <v>45.0</v>
      </c>
      <c r="D4" s="15">
        <v>3.0</v>
      </c>
      <c r="E4" s="15">
        <v>47.0</v>
      </c>
      <c r="F4" s="15">
        <v>325.4243</v>
      </c>
      <c r="G4" s="15"/>
      <c r="H4" s="5">
        <f>MAX(C:C)</f>
        <v>251</v>
      </c>
      <c r="I4" s="15">
        <v>31450.0</v>
      </c>
      <c r="J4" s="15">
        <v>382.0</v>
      </c>
      <c r="K4" s="15">
        <v>45.0</v>
      </c>
      <c r="L4" s="15">
        <v>3.0</v>
      </c>
      <c r="M4" s="15">
        <v>47.0</v>
      </c>
      <c r="N4" s="15">
        <v>25.50579</v>
      </c>
      <c r="O4" s="2"/>
      <c r="P4" s="16" t="b">
        <f t="shared" ref="P4:R4" si="1">C4=K4</f>
        <v>1</v>
      </c>
      <c r="Q4" s="16" t="b">
        <f t="shared" si="1"/>
        <v>1</v>
      </c>
      <c r="R4" s="16" t="b">
        <f t="shared" si="1"/>
        <v>1</v>
      </c>
      <c r="S4" s="17">
        <f t="shared" ref="S4:S53" si="3">J4</f>
        <v>382</v>
      </c>
      <c r="T4" s="18">
        <f t="shared" ref="T4:T53" si="4">F4/N4</f>
        <v>12.75884025</v>
      </c>
      <c r="U4" s="19" t="s">
        <v>14</v>
      </c>
      <c r="V4" s="20">
        <f>AVERAGE(T:T)</f>
        <v>6.118076306</v>
      </c>
      <c r="W4" s="2"/>
      <c r="X4" s="2"/>
      <c r="Y4" s="2"/>
      <c r="Z4" s="2"/>
      <c r="AA4" s="2"/>
      <c r="AB4" s="2"/>
      <c r="AC4" s="2"/>
    </row>
    <row r="5">
      <c r="A5" s="15">
        <v>31451.0</v>
      </c>
      <c r="B5" s="15">
        <v>342.0</v>
      </c>
      <c r="C5" s="15">
        <v>44.0</v>
      </c>
      <c r="D5" s="15">
        <v>6.0</v>
      </c>
      <c r="E5" s="15">
        <v>58.0</v>
      </c>
      <c r="F5" s="15">
        <v>291.3789</v>
      </c>
      <c r="G5" s="15"/>
      <c r="H5" s="12" t="s">
        <v>15</v>
      </c>
      <c r="I5" s="15">
        <v>31451.0</v>
      </c>
      <c r="J5" s="15">
        <v>342.0</v>
      </c>
      <c r="K5" s="15">
        <v>44.0</v>
      </c>
      <c r="L5" s="15">
        <v>6.0</v>
      </c>
      <c r="M5" s="15">
        <v>58.0</v>
      </c>
      <c r="N5" s="15">
        <v>31.99686</v>
      </c>
      <c r="O5" s="2"/>
      <c r="P5" s="16" t="b">
        <f t="shared" ref="P5:R5" si="2">C5=K5</f>
        <v>1</v>
      </c>
      <c r="Q5" s="16" t="b">
        <f t="shared" si="2"/>
        <v>1</v>
      </c>
      <c r="R5" s="16" t="b">
        <f t="shared" si="2"/>
        <v>1</v>
      </c>
      <c r="S5" s="17">
        <f t="shared" si="3"/>
        <v>342</v>
      </c>
      <c r="T5" s="18">
        <f t="shared" si="4"/>
        <v>9.106484199</v>
      </c>
      <c r="U5" s="19" t="s">
        <v>16</v>
      </c>
      <c r="V5" s="20">
        <f>max(T:T)</f>
        <v>13.84841373</v>
      </c>
      <c r="W5" s="2"/>
      <c r="X5" s="2"/>
      <c r="Y5" s="2"/>
      <c r="Z5" s="2"/>
      <c r="AA5" s="2"/>
      <c r="AB5" s="2"/>
      <c r="AC5" s="2"/>
    </row>
    <row r="6">
      <c r="A6" s="15">
        <v>31452.0</v>
      </c>
      <c r="B6" s="15">
        <v>201.0</v>
      </c>
      <c r="C6" s="15">
        <v>35.0</v>
      </c>
      <c r="D6" s="15">
        <v>137.0</v>
      </c>
      <c r="E6" s="15">
        <v>162.0</v>
      </c>
      <c r="F6" s="15">
        <v>172.2394</v>
      </c>
      <c r="G6" s="15"/>
      <c r="H6" s="5">
        <f t="array" ref="H6">INDEX(A:A, MATCH(H4, C:C, 0))</f>
        <v>31461</v>
      </c>
      <c r="I6" s="15">
        <v>31452.0</v>
      </c>
      <c r="J6" s="15">
        <v>201.0</v>
      </c>
      <c r="K6" s="15">
        <v>35.0</v>
      </c>
      <c r="L6" s="15">
        <v>137.0</v>
      </c>
      <c r="M6" s="15">
        <v>162.0</v>
      </c>
      <c r="N6" s="15">
        <v>26.69363</v>
      </c>
      <c r="O6" s="2"/>
      <c r="P6" s="16" t="b">
        <f t="shared" ref="P6:R6" si="5">C6=K6</f>
        <v>1</v>
      </c>
      <c r="Q6" s="16" t="b">
        <f t="shared" si="5"/>
        <v>1</v>
      </c>
      <c r="R6" s="16" t="b">
        <f t="shared" si="5"/>
        <v>1</v>
      </c>
      <c r="S6" s="17">
        <f t="shared" si="3"/>
        <v>201</v>
      </c>
      <c r="T6" s="18">
        <f t="shared" si="4"/>
        <v>6.452453263</v>
      </c>
      <c r="U6" s="19" t="s">
        <v>17</v>
      </c>
      <c r="V6" s="20">
        <f>MIN(T:T)</f>
        <v>1.056070943</v>
      </c>
      <c r="W6" s="2"/>
      <c r="X6" s="2"/>
      <c r="Y6" s="2"/>
      <c r="Z6" s="2"/>
      <c r="AA6" s="2"/>
      <c r="AB6" s="2"/>
      <c r="AC6" s="2"/>
    </row>
    <row r="7">
      <c r="A7" s="15">
        <v>31453.0</v>
      </c>
      <c r="B7" s="15">
        <v>484.0</v>
      </c>
      <c r="C7" s="15">
        <v>57.0</v>
      </c>
      <c r="D7" s="15">
        <v>354.0</v>
      </c>
      <c r="E7" s="15">
        <v>403.0</v>
      </c>
      <c r="F7" s="15">
        <v>408.7837</v>
      </c>
      <c r="G7" s="15"/>
      <c r="H7" s="5"/>
      <c r="I7" s="15">
        <v>31453.0</v>
      </c>
      <c r="J7" s="15">
        <v>484.0</v>
      </c>
      <c r="K7" s="15">
        <v>57.0</v>
      </c>
      <c r="L7" s="15">
        <v>354.0</v>
      </c>
      <c r="M7" s="15">
        <v>403.0</v>
      </c>
      <c r="N7" s="15">
        <v>43.27936</v>
      </c>
      <c r="O7" s="2"/>
      <c r="P7" s="16" t="b">
        <f t="shared" ref="P7:R7" si="6">C7=K7</f>
        <v>1</v>
      </c>
      <c r="Q7" s="16" t="b">
        <f t="shared" si="6"/>
        <v>1</v>
      </c>
      <c r="R7" s="16" t="b">
        <f t="shared" si="6"/>
        <v>1</v>
      </c>
      <c r="S7" s="17">
        <f t="shared" si="3"/>
        <v>484</v>
      </c>
      <c r="T7" s="18">
        <f t="shared" si="4"/>
        <v>9.445234403</v>
      </c>
      <c r="U7" s="8"/>
      <c r="V7" s="8"/>
      <c r="W7" s="2"/>
      <c r="X7" s="2"/>
      <c r="Y7" s="2"/>
      <c r="Z7" s="2"/>
      <c r="AA7" s="2"/>
      <c r="AB7" s="2"/>
      <c r="AC7" s="2"/>
    </row>
    <row r="8">
      <c r="A8" s="15">
        <v>31454.0</v>
      </c>
      <c r="B8" s="15">
        <v>879.0</v>
      </c>
      <c r="C8" s="15">
        <v>49.0</v>
      </c>
      <c r="D8" s="15">
        <v>135.0</v>
      </c>
      <c r="E8" s="15">
        <v>182.0</v>
      </c>
      <c r="F8" s="15">
        <v>748.9468</v>
      </c>
      <c r="G8" s="15"/>
      <c r="H8" s="5"/>
      <c r="I8" s="15">
        <v>31454.0</v>
      </c>
      <c r="J8" s="15">
        <v>879.0</v>
      </c>
      <c r="K8" s="15">
        <v>49.0</v>
      </c>
      <c r="L8" s="15">
        <v>135.0</v>
      </c>
      <c r="M8" s="15">
        <v>182.0</v>
      </c>
      <c r="N8" s="15">
        <v>58.43866</v>
      </c>
      <c r="O8" s="2"/>
      <c r="P8" s="16" t="b">
        <f t="shared" ref="P8:R8" si="7">C8=K8</f>
        <v>1</v>
      </c>
      <c r="Q8" s="16" t="b">
        <f t="shared" si="7"/>
        <v>1</v>
      </c>
      <c r="R8" s="16" t="b">
        <f t="shared" si="7"/>
        <v>1</v>
      </c>
      <c r="S8" s="17">
        <f t="shared" si="3"/>
        <v>879</v>
      </c>
      <c r="T8" s="18">
        <f t="shared" si="4"/>
        <v>12.81594753</v>
      </c>
      <c r="U8" s="8"/>
      <c r="V8" s="8"/>
      <c r="W8" s="2"/>
      <c r="X8" s="2"/>
      <c r="Y8" s="2"/>
      <c r="Z8" s="2"/>
      <c r="AA8" s="2"/>
      <c r="AB8" s="2"/>
      <c r="AC8" s="2"/>
    </row>
    <row r="9">
      <c r="A9" s="15">
        <v>31455.0</v>
      </c>
      <c r="B9" s="15">
        <v>158.0</v>
      </c>
      <c r="C9" s="15">
        <v>39.0</v>
      </c>
      <c r="D9" s="15">
        <v>44.0</v>
      </c>
      <c r="E9" s="15">
        <v>92.0</v>
      </c>
      <c r="F9" s="15">
        <v>134.0918</v>
      </c>
      <c r="G9" s="15"/>
      <c r="H9" s="5"/>
      <c r="I9" s="15">
        <v>31455.0</v>
      </c>
      <c r="J9" s="15">
        <v>158.0</v>
      </c>
      <c r="K9" s="15">
        <v>39.0</v>
      </c>
      <c r="L9" s="15">
        <v>44.0</v>
      </c>
      <c r="M9" s="15">
        <v>92.0</v>
      </c>
      <c r="N9" s="15">
        <v>40.49613</v>
      </c>
      <c r="O9" s="2"/>
      <c r="P9" s="16" t="b">
        <f t="shared" ref="P9:R9" si="8">C9=K9</f>
        <v>1</v>
      </c>
      <c r="Q9" s="16" t="b">
        <f t="shared" si="8"/>
        <v>1</v>
      </c>
      <c r="R9" s="16" t="b">
        <f t="shared" si="8"/>
        <v>1</v>
      </c>
      <c r="S9" s="17">
        <f t="shared" si="3"/>
        <v>158</v>
      </c>
      <c r="T9" s="18">
        <f t="shared" si="4"/>
        <v>3.311225048</v>
      </c>
      <c r="U9" s="8"/>
      <c r="V9" s="8"/>
      <c r="W9" s="2"/>
      <c r="X9" s="2"/>
      <c r="Y9" s="2"/>
      <c r="Z9" s="2"/>
      <c r="AA9" s="2"/>
      <c r="AB9" s="2"/>
      <c r="AC9" s="2"/>
    </row>
    <row r="10">
      <c r="A10" s="15">
        <v>31456.0</v>
      </c>
      <c r="B10" s="15">
        <v>173.0</v>
      </c>
      <c r="C10" s="15">
        <v>54.0</v>
      </c>
      <c r="D10" s="15">
        <v>36.0</v>
      </c>
      <c r="E10" s="15">
        <v>88.0</v>
      </c>
      <c r="F10" s="15">
        <v>148.2917</v>
      </c>
      <c r="G10" s="15"/>
      <c r="H10" s="5"/>
      <c r="I10" s="15">
        <v>31456.0</v>
      </c>
      <c r="J10" s="15">
        <v>173.0</v>
      </c>
      <c r="K10" s="15">
        <v>54.0</v>
      </c>
      <c r="L10" s="15">
        <v>36.0</v>
      </c>
      <c r="M10" s="15">
        <v>88.0</v>
      </c>
      <c r="N10" s="15">
        <v>47.35897</v>
      </c>
      <c r="O10" s="2"/>
      <c r="P10" s="16" t="b">
        <f t="shared" ref="P10:R10" si="9">C10=K10</f>
        <v>1</v>
      </c>
      <c r="Q10" s="16" t="b">
        <f t="shared" si="9"/>
        <v>1</v>
      </c>
      <c r="R10" s="16" t="b">
        <f t="shared" si="9"/>
        <v>1</v>
      </c>
      <c r="S10" s="17">
        <f t="shared" si="3"/>
        <v>173</v>
      </c>
      <c r="T10" s="18">
        <f t="shared" si="4"/>
        <v>3.131227305</v>
      </c>
      <c r="U10" s="8"/>
      <c r="V10" s="8"/>
      <c r="W10" s="2"/>
      <c r="X10" s="2"/>
      <c r="Y10" s="2"/>
      <c r="Z10" s="2"/>
      <c r="AA10" s="2"/>
      <c r="AB10" s="2"/>
      <c r="AC10" s="2"/>
    </row>
    <row r="11">
      <c r="A11" s="15">
        <v>31457.0</v>
      </c>
      <c r="B11" s="15">
        <v>519.0</v>
      </c>
      <c r="C11" s="15">
        <v>42.0</v>
      </c>
      <c r="D11" s="15">
        <v>29.0</v>
      </c>
      <c r="E11" s="15">
        <v>67.0</v>
      </c>
      <c r="F11" s="15">
        <v>436.1153</v>
      </c>
      <c r="G11" s="15"/>
      <c r="H11" s="5"/>
      <c r="I11" s="15">
        <v>31457.0</v>
      </c>
      <c r="J11" s="15">
        <v>519.0</v>
      </c>
      <c r="K11" s="15">
        <v>42.0</v>
      </c>
      <c r="L11" s="15">
        <v>29.0</v>
      </c>
      <c r="M11" s="15">
        <v>67.0</v>
      </c>
      <c r="N11" s="15">
        <v>57.53856</v>
      </c>
      <c r="O11" s="2"/>
      <c r="P11" s="16" t="b">
        <f t="shared" ref="P11:R11" si="10">C11=K11</f>
        <v>1</v>
      </c>
      <c r="Q11" s="16" t="b">
        <f t="shared" si="10"/>
        <v>1</v>
      </c>
      <c r="R11" s="16" t="b">
        <f t="shared" si="10"/>
        <v>1</v>
      </c>
      <c r="S11" s="17">
        <f t="shared" si="3"/>
        <v>519</v>
      </c>
      <c r="T11" s="18">
        <f t="shared" si="4"/>
        <v>7.579531014</v>
      </c>
      <c r="U11" s="8"/>
      <c r="V11" s="8"/>
      <c r="W11" s="2"/>
      <c r="X11" s="2"/>
      <c r="Y11" s="2"/>
      <c r="Z11" s="2"/>
      <c r="AA11" s="2"/>
      <c r="AB11" s="2"/>
      <c r="AC11" s="2"/>
    </row>
    <row r="12">
      <c r="A12" s="15">
        <v>31458.0</v>
      </c>
      <c r="B12" s="15">
        <v>402.0</v>
      </c>
      <c r="C12" s="15">
        <v>40.0</v>
      </c>
      <c r="D12" s="15">
        <v>283.0</v>
      </c>
      <c r="E12" s="15">
        <v>321.0</v>
      </c>
      <c r="F12" s="15">
        <v>342.2124</v>
      </c>
      <c r="G12" s="15"/>
      <c r="H12" s="5"/>
      <c r="I12" s="15">
        <v>31458.0</v>
      </c>
      <c r="J12" s="15">
        <v>402.0</v>
      </c>
      <c r="K12" s="15">
        <v>40.0</v>
      </c>
      <c r="L12" s="15">
        <v>283.0</v>
      </c>
      <c r="M12" s="15">
        <v>321.0</v>
      </c>
      <c r="N12" s="15">
        <v>56.04147</v>
      </c>
      <c r="O12" s="2"/>
      <c r="P12" s="16" t="b">
        <f t="shared" ref="P12:R12" si="11">C12=K12</f>
        <v>1</v>
      </c>
      <c r="Q12" s="16" t="b">
        <f t="shared" si="11"/>
        <v>1</v>
      </c>
      <c r="R12" s="16" t="b">
        <f t="shared" si="11"/>
        <v>1</v>
      </c>
      <c r="S12" s="17">
        <f t="shared" si="3"/>
        <v>402</v>
      </c>
      <c r="T12" s="18">
        <f t="shared" si="4"/>
        <v>6.106413697</v>
      </c>
      <c r="U12" s="8"/>
      <c r="V12" s="8"/>
      <c r="W12" s="2"/>
      <c r="X12" s="2"/>
      <c r="Y12" s="2"/>
      <c r="Z12" s="2"/>
      <c r="AA12" s="2"/>
      <c r="AB12" s="2"/>
      <c r="AC12" s="2"/>
    </row>
    <row r="13">
      <c r="A13" s="15">
        <v>31459.0</v>
      </c>
      <c r="B13" s="15">
        <v>125.0</v>
      </c>
      <c r="C13" s="15">
        <v>35.0</v>
      </c>
      <c r="D13" s="15">
        <v>27.0</v>
      </c>
      <c r="E13" s="15">
        <v>75.0</v>
      </c>
      <c r="F13" s="15">
        <v>105.824</v>
      </c>
      <c r="G13" s="15"/>
      <c r="H13" s="5"/>
      <c r="I13" s="15">
        <v>31459.0</v>
      </c>
      <c r="J13" s="15">
        <v>125.0</v>
      </c>
      <c r="K13" s="15">
        <v>35.0</v>
      </c>
      <c r="L13" s="15">
        <v>27.0</v>
      </c>
      <c r="M13" s="15">
        <v>75.0</v>
      </c>
      <c r="N13" s="15">
        <v>52.97459</v>
      </c>
      <c r="O13" s="2"/>
      <c r="P13" s="16" t="b">
        <f t="shared" ref="P13:R13" si="12">C13=K13</f>
        <v>1</v>
      </c>
      <c r="Q13" s="16" t="b">
        <f t="shared" si="12"/>
        <v>1</v>
      </c>
      <c r="R13" s="16" t="b">
        <f t="shared" si="12"/>
        <v>1</v>
      </c>
      <c r="S13" s="17">
        <f t="shared" si="3"/>
        <v>125</v>
      </c>
      <c r="T13" s="18">
        <f t="shared" si="4"/>
        <v>1.99763698</v>
      </c>
      <c r="U13" s="8"/>
      <c r="V13" s="8"/>
      <c r="W13" s="2"/>
      <c r="X13" s="2"/>
      <c r="Y13" s="2"/>
      <c r="Z13" s="2"/>
      <c r="AA13" s="2"/>
      <c r="AB13" s="2"/>
      <c r="AC13" s="2"/>
    </row>
    <row r="14">
      <c r="A14" s="15">
        <v>31460.0</v>
      </c>
      <c r="B14" s="15">
        <v>122.0</v>
      </c>
      <c r="C14" s="15">
        <v>69.0</v>
      </c>
      <c r="D14" s="15">
        <v>45.0</v>
      </c>
      <c r="E14" s="15">
        <v>94.0</v>
      </c>
      <c r="F14" s="15">
        <v>103.549</v>
      </c>
      <c r="G14" s="15"/>
      <c r="H14" s="5"/>
      <c r="I14" s="15">
        <v>31460.0</v>
      </c>
      <c r="J14" s="15">
        <v>122.0</v>
      </c>
      <c r="K14" s="15">
        <v>69.0</v>
      </c>
      <c r="L14" s="15">
        <v>45.0</v>
      </c>
      <c r="M14" s="15">
        <v>94.0</v>
      </c>
      <c r="N14" s="15">
        <v>57.11258</v>
      </c>
      <c r="O14" s="2"/>
      <c r="P14" s="16" t="b">
        <f t="shared" ref="P14:R14" si="13">C14=K14</f>
        <v>1</v>
      </c>
      <c r="Q14" s="16" t="b">
        <f t="shared" si="13"/>
        <v>1</v>
      </c>
      <c r="R14" s="16" t="b">
        <f t="shared" si="13"/>
        <v>1</v>
      </c>
      <c r="S14" s="17">
        <f t="shared" si="3"/>
        <v>122</v>
      </c>
      <c r="T14" s="18">
        <f t="shared" si="4"/>
        <v>1.813068154</v>
      </c>
      <c r="U14" s="8"/>
      <c r="V14" s="8"/>
      <c r="W14" s="2"/>
      <c r="X14" s="2"/>
      <c r="Y14" s="2"/>
      <c r="Z14" s="2"/>
      <c r="AA14" s="2"/>
      <c r="AB14" s="2"/>
      <c r="AC14" s="2"/>
    </row>
    <row r="15">
      <c r="A15" s="15">
        <v>31461.0</v>
      </c>
      <c r="B15" s="15">
        <v>304.0</v>
      </c>
      <c r="C15" s="15">
        <v>251.0</v>
      </c>
      <c r="D15" s="15">
        <v>256.0</v>
      </c>
      <c r="E15" s="15">
        <v>304.0</v>
      </c>
      <c r="F15" s="15">
        <v>257.7157</v>
      </c>
      <c r="G15" s="15"/>
      <c r="H15" s="5"/>
      <c r="I15" s="15">
        <v>31461.0</v>
      </c>
      <c r="J15" s="15">
        <v>304.0</v>
      </c>
      <c r="K15" s="15">
        <v>251.0</v>
      </c>
      <c r="L15" s="15">
        <v>256.0</v>
      </c>
      <c r="M15" s="15">
        <v>304.0</v>
      </c>
      <c r="N15" s="15">
        <v>65.62304</v>
      </c>
      <c r="O15" s="2"/>
      <c r="P15" s="16" t="b">
        <f t="shared" ref="P15:R15" si="14">C15=K15</f>
        <v>1</v>
      </c>
      <c r="Q15" s="16" t="b">
        <f t="shared" si="14"/>
        <v>1</v>
      </c>
      <c r="R15" s="16" t="b">
        <f t="shared" si="14"/>
        <v>1</v>
      </c>
      <c r="S15" s="17">
        <f t="shared" si="3"/>
        <v>304</v>
      </c>
      <c r="T15" s="18">
        <f t="shared" si="4"/>
        <v>3.927213674</v>
      </c>
      <c r="U15" s="8"/>
      <c r="V15" s="8"/>
      <c r="W15" s="2"/>
      <c r="X15" s="2"/>
      <c r="Y15" s="2"/>
      <c r="Z15" s="2"/>
      <c r="AA15" s="2"/>
      <c r="AB15" s="2"/>
      <c r="AC15" s="2"/>
    </row>
    <row r="16">
      <c r="A16" s="15">
        <v>31462.0</v>
      </c>
      <c r="B16" s="15">
        <v>173.0</v>
      </c>
      <c r="C16" s="15">
        <v>46.0</v>
      </c>
      <c r="D16" s="15">
        <v>119.0</v>
      </c>
      <c r="E16" s="15">
        <v>158.0</v>
      </c>
      <c r="F16" s="15">
        <v>147.0929</v>
      </c>
      <c r="G16" s="15"/>
      <c r="H16" s="5"/>
      <c r="I16" s="15">
        <v>31462.0</v>
      </c>
      <c r="J16" s="15">
        <v>173.0</v>
      </c>
      <c r="K16" s="15">
        <v>46.0</v>
      </c>
      <c r="L16" s="15">
        <v>119.0</v>
      </c>
      <c r="M16" s="15">
        <v>158.0</v>
      </c>
      <c r="N16" s="15">
        <v>57.79763</v>
      </c>
      <c r="O16" s="2"/>
      <c r="P16" s="16" t="b">
        <f t="shared" ref="P16:R16" si="15">C16=K16</f>
        <v>1</v>
      </c>
      <c r="Q16" s="16" t="b">
        <f t="shared" si="15"/>
        <v>1</v>
      </c>
      <c r="R16" s="16" t="b">
        <f t="shared" si="15"/>
        <v>1</v>
      </c>
      <c r="S16" s="17">
        <f t="shared" si="3"/>
        <v>173</v>
      </c>
      <c r="T16" s="18">
        <f t="shared" si="4"/>
        <v>2.544964214</v>
      </c>
      <c r="U16" s="8"/>
      <c r="V16" s="8"/>
      <c r="W16" s="2"/>
      <c r="X16" s="2"/>
      <c r="Y16" s="2"/>
      <c r="Z16" s="2"/>
      <c r="AA16" s="2"/>
      <c r="AB16" s="2"/>
      <c r="AC16" s="2"/>
    </row>
    <row r="17">
      <c r="A17" s="15">
        <v>31463.0</v>
      </c>
      <c r="B17" s="15">
        <v>374.0</v>
      </c>
      <c r="C17" s="15">
        <v>49.0</v>
      </c>
      <c r="D17" s="15">
        <v>37.0</v>
      </c>
      <c r="E17" s="15">
        <v>84.0</v>
      </c>
      <c r="F17" s="15">
        <v>318.1587</v>
      </c>
      <c r="G17" s="15"/>
      <c r="H17" s="5"/>
      <c r="I17" s="15">
        <v>31463.0</v>
      </c>
      <c r="J17" s="15">
        <v>374.0</v>
      </c>
      <c r="K17" s="15">
        <v>49.0</v>
      </c>
      <c r="L17" s="15">
        <v>37.0</v>
      </c>
      <c r="M17" s="15">
        <v>84.0</v>
      </c>
      <c r="N17" s="15">
        <v>69.20499</v>
      </c>
      <c r="O17" s="2"/>
      <c r="P17" s="16" t="b">
        <f t="shared" ref="P17:R17" si="16">C17=K17</f>
        <v>1</v>
      </c>
      <c r="Q17" s="16" t="b">
        <f t="shared" si="16"/>
        <v>1</v>
      </c>
      <c r="R17" s="16" t="b">
        <f t="shared" si="16"/>
        <v>1</v>
      </c>
      <c r="S17" s="17">
        <f t="shared" si="3"/>
        <v>374</v>
      </c>
      <c r="T17" s="18">
        <f t="shared" si="4"/>
        <v>4.597337562</v>
      </c>
      <c r="U17" s="8"/>
      <c r="V17" s="8"/>
      <c r="W17" s="2"/>
      <c r="X17" s="2"/>
      <c r="Y17" s="2"/>
      <c r="Z17" s="2"/>
      <c r="AA17" s="2"/>
      <c r="AB17" s="2"/>
      <c r="AC17" s="2"/>
    </row>
    <row r="18">
      <c r="A18" s="15">
        <v>31464.0</v>
      </c>
      <c r="B18" s="15">
        <v>162.0</v>
      </c>
      <c r="C18" s="15">
        <v>32.0</v>
      </c>
      <c r="D18" s="15">
        <v>65.0</v>
      </c>
      <c r="E18" s="15">
        <v>123.0</v>
      </c>
      <c r="F18" s="15">
        <v>138.9333</v>
      </c>
      <c r="G18" s="15"/>
      <c r="H18" s="5"/>
      <c r="I18" s="15">
        <v>31464.0</v>
      </c>
      <c r="J18" s="15">
        <v>162.0</v>
      </c>
      <c r="K18" s="15">
        <v>32.0</v>
      </c>
      <c r="L18" s="15">
        <v>65.0</v>
      </c>
      <c r="M18" s="15">
        <v>123.0</v>
      </c>
      <c r="N18" s="15">
        <v>81.42029</v>
      </c>
      <c r="O18" s="2"/>
      <c r="P18" s="16" t="b">
        <f t="shared" ref="P18:R18" si="17">C18=K18</f>
        <v>1</v>
      </c>
      <c r="Q18" s="16" t="b">
        <f t="shared" si="17"/>
        <v>1</v>
      </c>
      <c r="R18" s="16" t="b">
        <f t="shared" si="17"/>
        <v>1</v>
      </c>
      <c r="S18" s="17">
        <f t="shared" si="3"/>
        <v>162</v>
      </c>
      <c r="T18" s="18">
        <f t="shared" si="4"/>
        <v>1.706371962</v>
      </c>
      <c r="U18" s="8"/>
      <c r="V18" s="8"/>
      <c r="W18" s="2"/>
      <c r="X18" s="2"/>
      <c r="Y18" s="2"/>
      <c r="Z18" s="2"/>
      <c r="AA18" s="2"/>
      <c r="AB18" s="2"/>
      <c r="AC18" s="2"/>
    </row>
    <row r="19">
      <c r="A19" s="15">
        <v>31465.0</v>
      </c>
      <c r="B19" s="15">
        <v>72.0</v>
      </c>
      <c r="C19" s="15">
        <v>32.0</v>
      </c>
      <c r="D19" s="15">
        <v>39.0</v>
      </c>
      <c r="E19" s="15">
        <v>67.0</v>
      </c>
      <c r="F19" s="15">
        <v>61.0068</v>
      </c>
      <c r="G19" s="15"/>
      <c r="H19" s="5"/>
      <c r="I19" s="15">
        <v>31465.0</v>
      </c>
      <c r="J19" s="15">
        <v>72.0</v>
      </c>
      <c r="K19" s="15">
        <v>32.0</v>
      </c>
      <c r="L19" s="15">
        <v>39.0</v>
      </c>
      <c r="M19" s="15">
        <v>67.0</v>
      </c>
      <c r="N19" s="15">
        <v>57.76771</v>
      </c>
      <c r="O19" s="2"/>
      <c r="P19" s="16" t="b">
        <f t="shared" ref="P19:R19" si="18">C19=K19</f>
        <v>1</v>
      </c>
      <c r="Q19" s="16" t="b">
        <f t="shared" si="18"/>
        <v>1</v>
      </c>
      <c r="R19" s="16" t="b">
        <f t="shared" si="18"/>
        <v>1</v>
      </c>
      <c r="S19" s="17">
        <f t="shared" si="3"/>
        <v>72</v>
      </c>
      <c r="T19" s="18">
        <f t="shared" si="4"/>
        <v>1.056070943</v>
      </c>
      <c r="U19" s="8"/>
      <c r="V19" s="8"/>
      <c r="W19" s="2"/>
      <c r="X19" s="2"/>
      <c r="Y19" s="2"/>
      <c r="Z19" s="2"/>
      <c r="AA19" s="2"/>
      <c r="AB19" s="2"/>
      <c r="AC19" s="2"/>
    </row>
    <row r="20">
      <c r="A20" s="15">
        <v>31466.0</v>
      </c>
      <c r="B20" s="15">
        <v>128.0</v>
      </c>
      <c r="C20" s="15">
        <v>51.0</v>
      </c>
      <c r="D20" s="15">
        <v>56.0</v>
      </c>
      <c r="E20" s="15">
        <v>97.0</v>
      </c>
      <c r="F20" s="15">
        <v>109.6062</v>
      </c>
      <c r="G20" s="15"/>
      <c r="H20" s="5"/>
      <c r="I20" s="15">
        <v>31466.0</v>
      </c>
      <c r="J20" s="15">
        <v>128.0</v>
      </c>
      <c r="K20" s="15">
        <v>51.0</v>
      </c>
      <c r="L20" s="15">
        <v>56.0</v>
      </c>
      <c r="M20" s="15">
        <v>97.0</v>
      </c>
      <c r="N20" s="15">
        <v>62.22438</v>
      </c>
      <c r="O20" s="2"/>
      <c r="P20" s="16" t="b">
        <f t="shared" ref="P20:R20" si="19">C20=K20</f>
        <v>1</v>
      </c>
      <c r="Q20" s="16" t="b">
        <f t="shared" si="19"/>
        <v>1</v>
      </c>
      <c r="R20" s="16" t="b">
        <f t="shared" si="19"/>
        <v>1</v>
      </c>
      <c r="S20" s="17">
        <f t="shared" si="3"/>
        <v>128</v>
      </c>
      <c r="T20" s="18">
        <f t="shared" si="4"/>
        <v>1.761467129</v>
      </c>
      <c r="U20" s="8"/>
      <c r="V20" s="8"/>
      <c r="W20" s="2"/>
      <c r="X20" s="2"/>
      <c r="Y20" s="2"/>
      <c r="Z20" s="2"/>
      <c r="AA20" s="2"/>
      <c r="AB20" s="2"/>
      <c r="AC20" s="2"/>
    </row>
    <row r="21">
      <c r="A21" s="15">
        <v>31467.0</v>
      </c>
      <c r="B21" s="15">
        <v>442.0</v>
      </c>
      <c r="C21" s="15">
        <v>41.0</v>
      </c>
      <c r="D21" s="15">
        <v>292.0</v>
      </c>
      <c r="E21" s="15">
        <v>337.0</v>
      </c>
      <c r="F21" s="15">
        <v>373.5798</v>
      </c>
      <c r="G21" s="15"/>
      <c r="H21" s="5"/>
      <c r="I21" s="15">
        <v>31467.0</v>
      </c>
      <c r="J21" s="15">
        <v>442.0</v>
      </c>
      <c r="K21" s="15">
        <v>41.0</v>
      </c>
      <c r="L21" s="15">
        <v>292.0</v>
      </c>
      <c r="M21" s="15">
        <v>337.0</v>
      </c>
      <c r="N21" s="15">
        <v>72.83524</v>
      </c>
      <c r="O21" s="2"/>
      <c r="P21" s="16" t="b">
        <f t="shared" ref="P21:R21" si="20">C21=K21</f>
        <v>1</v>
      </c>
      <c r="Q21" s="16" t="b">
        <f t="shared" si="20"/>
        <v>1</v>
      </c>
      <c r="R21" s="16" t="b">
        <f t="shared" si="20"/>
        <v>1</v>
      </c>
      <c r="S21" s="17">
        <f t="shared" si="3"/>
        <v>442</v>
      </c>
      <c r="T21" s="18">
        <f t="shared" si="4"/>
        <v>5.129107833</v>
      </c>
      <c r="U21" s="8"/>
      <c r="V21" s="8"/>
      <c r="W21" s="2"/>
      <c r="X21" s="2"/>
      <c r="Y21" s="2"/>
      <c r="Z21" s="2"/>
      <c r="AA21" s="2"/>
      <c r="AB21" s="2"/>
      <c r="AC21" s="2"/>
    </row>
    <row r="22">
      <c r="A22" s="15">
        <v>31468.0</v>
      </c>
      <c r="B22" s="15">
        <v>419.0</v>
      </c>
      <c r="C22" s="15">
        <v>45.0</v>
      </c>
      <c r="D22" s="15">
        <v>71.0</v>
      </c>
      <c r="E22" s="15">
        <v>112.0</v>
      </c>
      <c r="F22" s="15">
        <v>355.3155</v>
      </c>
      <c r="G22" s="15"/>
      <c r="H22" s="5"/>
      <c r="I22" s="15">
        <v>31468.0</v>
      </c>
      <c r="J22" s="15">
        <v>419.0</v>
      </c>
      <c r="K22" s="15">
        <v>45.0</v>
      </c>
      <c r="L22" s="15">
        <v>71.0</v>
      </c>
      <c r="M22" s="15">
        <v>112.0</v>
      </c>
      <c r="N22" s="15">
        <v>72.47763</v>
      </c>
      <c r="O22" s="2"/>
      <c r="P22" s="16" t="b">
        <f t="shared" ref="P22:R22" si="21">C22=K22</f>
        <v>1</v>
      </c>
      <c r="Q22" s="16" t="b">
        <f t="shared" si="21"/>
        <v>1</v>
      </c>
      <c r="R22" s="16" t="b">
        <f t="shared" si="21"/>
        <v>1</v>
      </c>
      <c r="S22" s="17">
        <f t="shared" si="3"/>
        <v>419</v>
      </c>
      <c r="T22" s="18">
        <f t="shared" si="4"/>
        <v>4.902416097</v>
      </c>
      <c r="U22" s="8"/>
      <c r="V22" s="8"/>
      <c r="W22" s="2"/>
      <c r="X22" s="2"/>
      <c r="Y22" s="2"/>
      <c r="Z22" s="2"/>
      <c r="AA22" s="2"/>
      <c r="AB22" s="2"/>
      <c r="AC22" s="2"/>
    </row>
    <row r="23">
      <c r="A23" s="15">
        <v>31469.0</v>
      </c>
      <c r="B23" s="15">
        <v>374.0</v>
      </c>
      <c r="C23" s="15">
        <v>52.0</v>
      </c>
      <c r="D23" s="15">
        <v>115.0</v>
      </c>
      <c r="E23" s="15">
        <v>150.0</v>
      </c>
      <c r="F23" s="15">
        <v>318.081</v>
      </c>
      <c r="G23" s="15"/>
      <c r="H23" s="5"/>
      <c r="I23" s="15">
        <v>31469.0</v>
      </c>
      <c r="J23" s="15">
        <v>374.0</v>
      </c>
      <c r="K23" s="15">
        <v>52.0</v>
      </c>
      <c r="L23" s="15">
        <v>115.0</v>
      </c>
      <c r="M23" s="15">
        <v>150.0</v>
      </c>
      <c r="N23" s="15">
        <v>81.18169</v>
      </c>
      <c r="O23" s="2"/>
      <c r="P23" s="16" t="b">
        <f t="shared" ref="P23:R23" si="22">C23=K23</f>
        <v>1</v>
      </c>
      <c r="Q23" s="16" t="b">
        <f t="shared" si="22"/>
        <v>1</v>
      </c>
      <c r="R23" s="16" t="b">
        <f t="shared" si="22"/>
        <v>1</v>
      </c>
      <c r="S23" s="17">
        <f t="shared" si="3"/>
        <v>374</v>
      </c>
      <c r="T23" s="18">
        <f t="shared" si="4"/>
        <v>3.918137206</v>
      </c>
      <c r="U23" s="8"/>
      <c r="V23" s="8"/>
      <c r="W23" s="2"/>
      <c r="X23" s="2"/>
      <c r="Y23" s="2"/>
      <c r="Z23" s="2"/>
      <c r="AA23" s="2"/>
      <c r="AB23" s="2"/>
      <c r="AC23" s="2"/>
    </row>
    <row r="24">
      <c r="A24" s="15">
        <v>31470.0</v>
      </c>
      <c r="B24" s="15">
        <v>167.0</v>
      </c>
      <c r="C24" s="15">
        <v>35.0</v>
      </c>
      <c r="D24" s="15">
        <v>90.0</v>
      </c>
      <c r="E24" s="15">
        <v>128.0</v>
      </c>
      <c r="F24" s="15">
        <v>142.9942</v>
      </c>
      <c r="G24" s="15"/>
      <c r="H24" s="5"/>
      <c r="I24" s="15">
        <v>31470.0</v>
      </c>
      <c r="J24" s="15">
        <v>167.0</v>
      </c>
      <c r="K24" s="15">
        <v>35.0</v>
      </c>
      <c r="L24" s="15">
        <v>90.0</v>
      </c>
      <c r="M24" s="15">
        <v>128.0</v>
      </c>
      <c r="N24" s="15">
        <v>61.32099</v>
      </c>
      <c r="O24" s="2"/>
      <c r="P24" s="16" t="b">
        <f t="shared" ref="P24:R24" si="23">C24=K24</f>
        <v>1</v>
      </c>
      <c r="Q24" s="16" t="b">
        <f t="shared" si="23"/>
        <v>1</v>
      </c>
      <c r="R24" s="16" t="b">
        <f t="shared" si="23"/>
        <v>1</v>
      </c>
      <c r="S24" s="17">
        <f t="shared" si="3"/>
        <v>167</v>
      </c>
      <c r="T24" s="18">
        <f t="shared" si="4"/>
        <v>2.331896468</v>
      </c>
      <c r="U24" s="8"/>
      <c r="V24" s="8"/>
      <c r="W24" s="2"/>
      <c r="X24" s="2"/>
      <c r="Y24" s="2"/>
      <c r="Z24" s="2"/>
      <c r="AA24" s="2"/>
      <c r="AB24" s="2"/>
      <c r="AC24" s="2"/>
    </row>
    <row r="25">
      <c r="A25" s="15">
        <v>31471.0</v>
      </c>
      <c r="B25" s="15">
        <v>238.0</v>
      </c>
      <c r="C25" s="15">
        <v>37.0</v>
      </c>
      <c r="D25" s="15">
        <v>163.0</v>
      </c>
      <c r="E25" s="15">
        <v>204.0</v>
      </c>
      <c r="F25" s="15">
        <v>201.9821</v>
      </c>
      <c r="G25" s="15"/>
      <c r="H25" s="5"/>
      <c r="I25" s="15">
        <v>31471.0</v>
      </c>
      <c r="J25" s="15">
        <v>238.0</v>
      </c>
      <c r="K25" s="15">
        <v>37.0</v>
      </c>
      <c r="L25" s="15">
        <v>163.0</v>
      </c>
      <c r="M25" s="15">
        <v>204.0</v>
      </c>
      <c r="N25" s="15">
        <v>65.16429</v>
      </c>
      <c r="O25" s="2"/>
      <c r="P25" s="16" t="b">
        <f t="shared" ref="P25:R25" si="24">C25=K25</f>
        <v>1</v>
      </c>
      <c r="Q25" s="16" t="b">
        <f t="shared" si="24"/>
        <v>1</v>
      </c>
      <c r="R25" s="16" t="b">
        <f t="shared" si="24"/>
        <v>1</v>
      </c>
      <c r="S25" s="17">
        <f t="shared" si="3"/>
        <v>238</v>
      </c>
      <c r="T25" s="18">
        <f t="shared" si="4"/>
        <v>3.099582609</v>
      </c>
      <c r="U25" s="8"/>
      <c r="V25" s="8"/>
      <c r="W25" s="2"/>
      <c r="X25" s="2"/>
      <c r="Y25" s="2"/>
      <c r="Z25" s="2"/>
      <c r="AA25" s="2"/>
      <c r="AB25" s="2"/>
      <c r="AC25" s="2"/>
    </row>
    <row r="26">
      <c r="A26" s="15">
        <v>31472.0</v>
      </c>
      <c r="B26" s="15">
        <v>308.0</v>
      </c>
      <c r="C26" s="15">
        <v>50.0</v>
      </c>
      <c r="D26" s="15">
        <v>61.0</v>
      </c>
      <c r="E26" s="15">
        <v>99.0</v>
      </c>
      <c r="F26" s="15">
        <v>261.6102</v>
      </c>
      <c r="G26" s="15"/>
      <c r="H26" s="5"/>
      <c r="I26" s="15">
        <v>31472.0</v>
      </c>
      <c r="J26" s="15">
        <v>308.0</v>
      </c>
      <c r="K26" s="15">
        <v>50.0</v>
      </c>
      <c r="L26" s="15">
        <v>61.0</v>
      </c>
      <c r="M26" s="15">
        <v>99.0</v>
      </c>
      <c r="N26" s="15">
        <v>65.36295</v>
      </c>
      <c r="O26" s="2"/>
      <c r="P26" s="16" t="b">
        <f t="shared" ref="P26:R26" si="25">C26=K26</f>
        <v>1</v>
      </c>
      <c r="Q26" s="16" t="b">
        <f t="shared" si="25"/>
        <v>1</v>
      </c>
      <c r="R26" s="16" t="b">
        <f t="shared" si="25"/>
        <v>1</v>
      </c>
      <c r="S26" s="17">
        <f t="shared" si="3"/>
        <v>308</v>
      </c>
      <c r="T26" s="18">
        <f t="shared" si="4"/>
        <v>4.002423391</v>
      </c>
      <c r="U26" s="8"/>
      <c r="V26" s="8"/>
      <c r="W26" s="2"/>
      <c r="X26" s="2"/>
      <c r="Y26" s="2"/>
      <c r="Z26" s="2"/>
      <c r="AA26" s="2"/>
      <c r="AB26" s="2"/>
      <c r="AC26" s="2"/>
    </row>
    <row r="27">
      <c r="A27" s="15">
        <v>31473.0</v>
      </c>
      <c r="B27" s="15">
        <v>225.0</v>
      </c>
      <c r="C27" s="15">
        <v>45.0</v>
      </c>
      <c r="D27" s="15">
        <v>6.0</v>
      </c>
      <c r="E27" s="15">
        <v>54.0</v>
      </c>
      <c r="F27" s="15">
        <v>192.2986</v>
      </c>
      <c r="G27" s="15"/>
      <c r="H27" s="5"/>
      <c r="I27" s="15">
        <v>31473.0</v>
      </c>
      <c r="J27" s="15">
        <v>225.0</v>
      </c>
      <c r="K27" s="15">
        <v>45.0</v>
      </c>
      <c r="L27" s="15">
        <v>6.0</v>
      </c>
      <c r="M27" s="15">
        <v>54.0</v>
      </c>
      <c r="N27" s="15">
        <v>77.77802</v>
      </c>
      <c r="O27" s="2"/>
      <c r="P27" s="16" t="b">
        <f t="shared" ref="P27:R27" si="26">C27=K27</f>
        <v>1</v>
      </c>
      <c r="Q27" s="16" t="b">
        <f t="shared" si="26"/>
        <v>1</v>
      </c>
      <c r="R27" s="16" t="b">
        <f t="shared" si="26"/>
        <v>1</v>
      </c>
      <c r="S27" s="17">
        <f t="shared" si="3"/>
        <v>225</v>
      </c>
      <c r="T27" s="18">
        <f t="shared" si="4"/>
        <v>2.472402872</v>
      </c>
      <c r="U27" s="8"/>
      <c r="V27" s="8"/>
      <c r="W27" s="2"/>
      <c r="X27" s="2"/>
      <c r="Y27" s="2"/>
      <c r="Z27" s="2"/>
      <c r="AA27" s="2"/>
      <c r="AB27" s="2"/>
      <c r="AC27" s="2"/>
    </row>
    <row r="28">
      <c r="A28" s="15">
        <v>31474.0</v>
      </c>
      <c r="B28" s="15">
        <v>280.0</v>
      </c>
      <c r="C28" s="15">
        <v>54.0</v>
      </c>
      <c r="D28" s="15">
        <v>35.0</v>
      </c>
      <c r="E28" s="15">
        <v>69.0</v>
      </c>
      <c r="F28" s="15">
        <v>240.3542</v>
      </c>
      <c r="G28" s="15"/>
      <c r="H28" s="5"/>
      <c r="I28" s="15">
        <v>31474.0</v>
      </c>
      <c r="J28" s="15">
        <v>280.0</v>
      </c>
      <c r="K28" s="15">
        <v>54.0</v>
      </c>
      <c r="L28" s="15">
        <v>35.0</v>
      </c>
      <c r="M28" s="15">
        <v>69.0</v>
      </c>
      <c r="N28" s="15">
        <v>29.35091</v>
      </c>
      <c r="O28" s="2"/>
      <c r="P28" s="16" t="b">
        <f t="shared" ref="P28:R28" si="27">C28=K28</f>
        <v>1</v>
      </c>
      <c r="Q28" s="16" t="b">
        <f t="shared" si="27"/>
        <v>1</v>
      </c>
      <c r="R28" s="16" t="b">
        <f t="shared" si="27"/>
        <v>1</v>
      </c>
      <c r="S28" s="17">
        <f t="shared" si="3"/>
        <v>280</v>
      </c>
      <c r="T28" s="18">
        <f t="shared" si="4"/>
        <v>8.188986304</v>
      </c>
      <c r="U28" s="8"/>
      <c r="V28" s="8"/>
      <c r="W28" s="2"/>
      <c r="X28" s="2"/>
      <c r="Y28" s="2"/>
      <c r="Z28" s="2"/>
      <c r="AA28" s="2"/>
      <c r="AB28" s="2"/>
      <c r="AC28" s="2"/>
    </row>
    <row r="29">
      <c r="A29" s="15">
        <v>31475.0</v>
      </c>
      <c r="B29" s="15">
        <v>341.0</v>
      </c>
      <c r="C29" s="15">
        <v>50.0</v>
      </c>
      <c r="D29" s="15">
        <v>94.0</v>
      </c>
      <c r="E29" s="15">
        <v>133.0</v>
      </c>
      <c r="F29" s="15">
        <v>291.7795</v>
      </c>
      <c r="G29" s="15"/>
      <c r="H29" s="5"/>
      <c r="I29" s="15">
        <v>31475.0</v>
      </c>
      <c r="J29" s="15">
        <v>341.0</v>
      </c>
      <c r="K29" s="15">
        <v>50.0</v>
      </c>
      <c r="L29" s="15">
        <v>94.0</v>
      </c>
      <c r="M29" s="15">
        <v>133.0</v>
      </c>
      <c r="N29" s="15">
        <v>37.07597</v>
      </c>
      <c r="O29" s="2"/>
      <c r="P29" s="16" t="b">
        <f t="shared" ref="P29:R29" si="28">C29=K29</f>
        <v>1</v>
      </c>
      <c r="Q29" s="16" t="b">
        <f t="shared" si="28"/>
        <v>1</v>
      </c>
      <c r="R29" s="16" t="b">
        <f t="shared" si="28"/>
        <v>1</v>
      </c>
      <c r="S29" s="17">
        <f t="shared" si="3"/>
        <v>341</v>
      </c>
      <c r="T29" s="18">
        <f t="shared" si="4"/>
        <v>7.869773872</v>
      </c>
      <c r="U29" s="8"/>
      <c r="V29" s="8"/>
      <c r="W29" s="2"/>
      <c r="X29" s="2"/>
      <c r="Y29" s="2"/>
      <c r="Z29" s="2"/>
      <c r="AA29" s="2"/>
      <c r="AB29" s="2"/>
      <c r="AC29" s="2"/>
    </row>
    <row r="30">
      <c r="A30" s="15">
        <v>31476.0</v>
      </c>
      <c r="B30" s="15">
        <v>174.0</v>
      </c>
      <c r="C30" s="15">
        <v>39.0</v>
      </c>
      <c r="D30" s="15">
        <v>6.0</v>
      </c>
      <c r="E30" s="15">
        <v>67.0</v>
      </c>
      <c r="F30" s="15">
        <v>149.1901</v>
      </c>
      <c r="G30" s="15"/>
      <c r="H30" s="5"/>
      <c r="I30" s="15">
        <v>31476.0</v>
      </c>
      <c r="J30" s="15">
        <v>174.0</v>
      </c>
      <c r="K30" s="15">
        <v>39.0</v>
      </c>
      <c r="L30" s="15">
        <v>6.0</v>
      </c>
      <c r="M30" s="15">
        <v>67.0</v>
      </c>
      <c r="N30" s="15">
        <v>31.4361</v>
      </c>
      <c r="O30" s="2"/>
      <c r="P30" s="16" t="b">
        <f t="shared" ref="P30:R30" si="29">C30=K30</f>
        <v>1</v>
      </c>
      <c r="Q30" s="16" t="b">
        <f t="shared" si="29"/>
        <v>1</v>
      </c>
      <c r="R30" s="16" t="b">
        <f t="shared" si="29"/>
        <v>1</v>
      </c>
      <c r="S30" s="17">
        <f t="shared" si="3"/>
        <v>174</v>
      </c>
      <c r="T30" s="18">
        <f t="shared" si="4"/>
        <v>4.745820887</v>
      </c>
      <c r="U30" s="8"/>
      <c r="V30" s="8"/>
      <c r="W30" s="2"/>
      <c r="X30" s="2"/>
      <c r="Y30" s="2"/>
      <c r="Z30" s="2"/>
      <c r="AA30" s="2"/>
      <c r="AB30" s="2"/>
      <c r="AC30" s="2"/>
    </row>
    <row r="31">
      <c r="A31" s="15">
        <v>31477.0</v>
      </c>
      <c r="B31" s="15">
        <v>153.0</v>
      </c>
      <c r="C31" s="15">
        <v>51.0</v>
      </c>
      <c r="D31" s="15">
        <v>58.0</v>
      </c>
      <c r="E31" s="15">
        <v>100.0</v>
      </c>
      <c r="F31" s="15">
        <v>128.6329</v>
      </c>
      <c r="G31" s="15"/>
      <c r="H31" s="5"/>
      <c r="I31" s="15">
        <v>31477.0</v>
      </c>
      <c r="J31" s="15">
        <v>153.0</v>
      </c>
      <c r="K31" s="15">
        <v>51.0</v>
      </c>
      <c r="L31" s="15">
        <v>58.0</v>
      </c>
      <c r="M31" s="15">
        <v>100.0</v>
      </c>
      <c r="N31" s="15">
        <v>28.31258</v>
      </c>
      <c r="O31" s="2"/>
      <c r="P31" s="16" t="b">
        <f t="shared" ref="P31:R31" si="30">C31=K31</f>
        <v>1</v>
      </c>
      <c r="Q31" s="16" t="b">
        <f t="shared" si="30"/>
        <v>1</v>
      </c>
      <c r="R31" s="16" t="b">
        <f t="shared" si="30"/>
        <v>1</v>
      </c>
      <c r="S31" s="17">
        <f t="shared" si="3"/>
        <v>153</v>
      </c>
      <c r="T31" s="18">
        <f t="shared" si="4"/>
        <v>4.543312549</v>
      </c>
      <c r="U31" s="8"/>
      <c r="V31" s="8"/>
      <c r="W31" s="2"/>
      <c r="X31" s="2"/>
      <c r="Y31" s="2"/>
      <c r="Z31" s="2"/>
      <c r="AA31" s="2"/>
      <c r="AB31" s="2"/>
      <c r="AC31" s="2"/>
    </row>
    <row r="32">
      <c r="A32" s="15">
        <v>31478.0</v>
      </c>
      <c r="B32" s="15">
        <v>167.0</v>
      </c>
      <c r="C32" s="15">
        <v>36.0</v>
      </c>
      <c r="D32" s="15">
        <v>132.0</v>
      </c>
      <c r="E32" s="15">
        <v>167.0</v>
      </c>
      <c r="F32" s="15">
        <v>140.1779</v>
      </c>
      <c r="G32" s="15"/>
      <c r="H32" s="5"/>
      <c r="I32" s="15">
        <v>31478.0</v>
      </c>
      <c r="J32" s="15">
        <v>167.0</v>
      </c>
      <c r="K32" s="15">
        <v>36.0</v>
      </c>
      <c r="L32" s="15">
        <v>132.0</v>
      </c>
      <c r="M32" s="15">
        <v>167.0</v>
      </c>
      <c r="N32" s="15">
        <v>26.08128</v>
      </c>
      <c r="O32" s="2"/>
      <c r="P32" s="16" t="b">
        <f t="shared" ref="P32:R32" si="31">C32=K32</f>
        <v>1</v>
      </c>
      <c r="Q32" s="16" t="b">
        <f t="shared" si="31"/>
        <v>1</v>
      </c>
      <c r="R32" s="16" t="b">
        <f t="shared" si="31"/>
        <v>1</v>
      </c>
      <c r="S32" s="17">
        <f t="shared" si="3"/>
        <v>167</v>
      </c>
      <c r="T32" s="18">
        <f t="shared" si="4"/>
        <v>5.374655692</v>
      </c>
      <c r="U32" s="8"/>
      <c r="V32" s="8"/>
      <c r="W32" s="2"/>
      <c r="X32" s="2"/>
      <c r="Y32" s="2"/>
      <c r="Z32" s="2"/>
      <c r="AA32" s="2"/>
      <c r="AB32" s="2"/>
      <c r="AC32" s="2"/>
    </row>
    <row r="33">
      <c r="A33" s="15">
        <v>31479.0</v>
      </c>
      <c r="B33" s="15">
        <v>252.0</v>
      </c>
      <c r="C33" s="15">
        <v>39.0</v>
      </c>
      <c r="D33" s="15">
        <v>168.0</v>
      </c>
      <c r="E33" s="15">
        <v>212.0</v>
      </c>
      <c r="F33" s="15">
        <v>214.7237</v>
      </c>
      <c r="G33" s="15"/>
      <c r="H33" s="5"/>
      <c r="I33" s="15">
        <v>31479.0</v>
      </c>
      <c r="J33" s="15">
        <v>252.0</v>
      </c>
      <c r="K33" s="15">
        <v>39.0</v>
      </c>
      <c r="L33" s="15">
        <v>168.0</v>
      </c>
      <c r="M33" s="15">
        <v>212.0</v>
      </c>
      <c r="N33" s="15">
        <v>30.69139</v>
      </c>
      <c r="O33" s="2"/>
      <c r="P33" s="16" t="b">
        <f t="shared" ref="P33:R33" si="32">C33=K33</f>
        <v>1</v>
      </c>
      <c r="Q33" s="16" t="b">
        <f t="shared" si="32"/>
        <v>1</v>
      </c>
      <c r="R33" s="16" t="b">
        <f t="shared" si="32"/>
        <v>1</v>
      </c>
      <c r="S33" s="17">
        <f t="shared" si="3"/>
        <v>252</v>
      </c>
      <c r="T33" s="18">
        <f t="shared" si="4"/>
        <v>6.996219461</v>
      </c>
      <c r="U33" s="8"/>
      <c r="V33" s="8"/>
      <c r="W33" s="2"/>
      <c r="X33" s="2"/>
      <c r="Y33" s="2"/>
      <c r="Z33" s="2"/>
      <c r="AA33" s="2"/>
      <c r="AB33" s="2"/>
      <c r="AC33" s="2"/>
    </row>
    <row r="34">
      <c r="A34" s="15">
        <v>31480.0</v>
      </c>
      <c r="B34" s="15">
        <v>101.0</v>
      </c>
      <c r="C34" s="15">
        <v>41.0</v>
      </c>
      <c r="D34" s="15">
        <v>36.0</v>
      </c>
      <c r="E34" s="15">
        <v>79.0</v>
      </c>
      <c r="F34" s="15">
        <v>85.7686</v>
      </c>
      <c r="G34" s="15"/>
      <c r="H34" s="5"/>
      <c r="I34" s="15">
        <v>31480.0</v>
      </c>
      <c r="J34" s="15">
        <v>101.0</v>
      </c>
      <c r="K34" s="15">
        <v>41.0</v>
      </c>
      <c r="L34" s="15">
        <v>36.0</v>
      </c>
      <c r="M34" s="15">
        <v>79.0</v>
      </c>
      <c r="N34" s="15">
        <v>25.27651</v>
      </c>
      <c r="O34" s="2"/>
      <c r="P34" s="16" t="b">
        <f t="shared" ref="P34:R34" si="33">C34=K34</f>
        <v>1</v>
      </c>
      <c r="Q34" s="16" t="b">
        <f t="shared" si="33"/>
        <v>1</v>
      </c>
      <c r="R34" s="16" t="b">
        <f t="shared" si="33"/>
        <v>1</v>
      </c>
      <c r="S34" s="17">
        <f t="shared" si="3"/>
        <v>101</v>
      </c>
      <c r="T34" s="18">
        <f t="shared" si="4"/>
        <v>3.393213699</v>
      </c>
      <c r="U34" s="8"/>
      <c r="V34" s="8"/>
      <c r="W34" s="2"/>
      <c r="X34" s="2"/>
      <c r="Y34" s="2"/>
      <c r="Z34" s="2"/>
      <c r="AA34" s="2"/>
      <c r="AB34" s="2"/>
      <c r="AC34" s="2"/>
    </row>
    <row r="35">
      <c r="A35" s="15">
        <v>31481.0</v>
      </c>
      <c r="B35" s="15">
        <v>141.0</v>
      </c>
      <c r="C35" s="15">
        <v>52.0</v>
      </c>
      <c r="D35" s="15">
        <v>50.0</v>
      </c>
      <c r="E35" s="15">
        <v>97.0</v>
      </c>
      <c r="F35" s="15">
        <v>120.1659</v>
      </c>
      <c r="G35" s="15"/>
      <c r="H35" s="5"/>
      <c r="I35" s="15">
        <v>31481.0</v>
      </c>
      <c r="J35" s="15">
        <v>141.0</v>
      </c>
      <c r="K35" s="15">
        <v>52.0</v>
      </c>
      <c r="L35" s="15">
        <v>50.0</v>
      </c>
      <c r="M35" s="15">
        <v>97.0</v>
      </c>
      <c r="N35" s="15">
        <v>28.60646</v>
      </c>
      <c r="O35" s="2"/>
      <c r="P35" s="16" t="b">
        <f t="shared" ref="P35:R35" si="34">C35=K35</f>
        <v>1</v>
      </c>
      <c r="Q35" s="16" t="b">
        <f t="shared" si="34"/>
        <v>1</v>
      </c>
      <c r="R35" s="16" t="b">
        <f t="shared" si="34"/>
        <v>1</v>
      </c>
      <c r="S35" s="17">
        <f t="shared" si="3"/>
        <v>141</v>
      </c>
      <c r="T35" s="18">
        <f t="shared" si="4"/>
        <v>4.200656076</v>
      </c>
      <c r="U35" s="8"/>
      <c r="V35" s="8"/>
      <c r="W35" s="2"/>
      <c r="X35" s="2"/>
      <c r="Y35" s="2"/>
      <c r="Z35" s="2"/>
      <c r="AA35" s="2"/>
      <c r="AB35" s="2"/>
      <c r="AC35" s="2"/>
    </row>
    <row r="36">
      <c r="A36" s="15">
        <v>31482.0</v>
      </c>
      <c r="B36" s="15">
        <v>386.0</v>
      </c>
      <c r="C36" s="15">
        <v>43.0</v>
      </c>
      <c r="D36" s="15">
        <v>128.0</v>
      </c>
      <c r="E36" s="15">
        <v>170.0</v>
      </c>
      <c r="F36" s="15">
        <v>324.2695</v>
      </c>
      <c r="G36" s="15"/>
      <c r="H36" s="5"/>
      <c r="I36" s="15">
        <v>31482.0</v>
      </c>
      <c r="J36" s="15">
        <v>386.0</v>
      </c>
      <c r="K36" s="15">
        <v>43.0</v>
      </c>
      <c r="L36" s="15">
        <v>128.0</v>
      </c>
      <c r="M36" s="15">
        <v>170.0</v>
      </c>
      <c r="N36" s="15">
        <v>35.65696</v>
      </c>
      <c r="O36" s="2"/>
      <c r="P36" s="16" t="b">
        <f t="shared" ref="P36:R36" si="35">C36=K36</f>
        <v>1</v>
      </c>
      <c r="Q36" s="16" t="b">
        <f t="shared" si="35"/>
        <v>1</v>
      </c>
      <c r="R36" s="16" t="b">
        <f t="shared" si="35"/>
        <v>1</v>
      </c>
      <c r="S36" s="17">
        <f t="shared" si="3"/>
        <v>386</v>
      </c>
      <c r="T36" s="18">
        <f t="shared" si="4"/>
        <v>9.094143191</v>
      </c>
      <c r="U36" s="8"/>
      <c r="V36" s="8"/>
      <c r="W36" s="2"/>
      <c r="X36" s="2"/>
      <c r="Y36" s="2"/>
      <c r="Z36" s="2"/>
      <c r="AA36" s="2"/>
      <c r="AB36" s="2"/>
      <c r="AC36" s="2"/>
    </row>
    <row r="37">
      <c r="A37" s="15">
        <v>31483.0</v>
      </c>
      <c r="B37" s="15">
        <v>468.0</v>
      </c>
      <c r="C37" s="15">
        <v>51.0</v>
      </c>
      <c r="D37" s="15">
        <v>200.0</v>
      </c>
      <c r="E37" s="15">
        <v>242.0</v>
      </c>
      <c r="F37" s="15">
        <v>398.7044</v>
      </c>
      <c r="G37" s="15"/>
      <c r="H37" s="5"/>
      <c r="I37" s="15">
        <v>31483.0</v>
      </c>
      <c r="J37" s="15">
        <v>468.0</v>
      </c>
      <c r="K37" s="15">
        <v>51.0</v>
      </c>
      <c r="L37" s="15">
        <v>200.0</v>
      </c>
      <c r="M37" s="15">
        <v>242.0</v>
      </c>
      <c r="N37" s="15">
        <v>36.3183</v>
      </c>
      <c r="O37" s="2"/>
      <c r="P37" s="16" t="b">
        <f t="shared" ref="P37:R37" si="36">C37=K37</f>
        <v>1</v>
      </c>
      <c r="Q37" s="16" t="b">
        <f t="shared" si="36"/>
        <v>1</v>
      </c>
      <c r="R37" s="16" t="b">
        <f t="shared" si="36"/>
        <v>1</v>
      </c>
      <c r="S37" s="17">
        <f t="shared" si="3"/>
        <v>468</v>
      </c>
      <c r="T37" s="18">
        <f t="shared" si="4"/>
        <v>10.97805789</v>
      </c>
      <c r="U37" s="8"/>
      <c r="V37" s="8"/>
      <c r="W37" s="2"/>
      <c r="X37" s="2"/>
      <c r="Y37" s="2"/>
      <c r="Z37" s="2"/>
      <c r="AA37" s="2"/>
      <c r="AB37" s="2"/>
      <c r="AC37" s="2"/>
    </row>
    <row r="38">
      <c r="A38" s="15">
        <v>31484.0</v>
      </c>
      <c r="B38" s="15">
        <v>196.0</v>
      </c>
      <c r="C38" s="15">
        <v>40.0</v>
      </c>
      <c r="D38" s="15">
        <v>83.0</v>
      </c>
      <c r="E38" s="15">
        <v>131.0</v>
      </c>
      <c r="F38" s="15">
        <v>167.6029</v>
      </c>
      <c r="G38" s="15"/>
      <c r="H38" s="5"/>
      <c r="I38" s="15">
        <v>31484.0</v>
      </c>
      <c r="J38" s="15">
        <v>196.0</v>
      </c>
      <c r="K38" s="15">
        <v>40.0</v>
      </c>
      <c r="L38" s="15">
        <v>83.0</v>
      </c>
      <c r="M38" s="15">
        <v>131.0</v>
      </c>
      <c r="N38" s="15">
        <v>33.73978</v>
      </c>
      <c r="O38" s="2"/>
      <c r="P38" s="16" t="b">
        <f t="shared" ref="P38:R38" si="37">C38=K38</f>
        <v>1</v>
      </c>
      <c r="Q38" s="16" t="b">
        <f t="shared" si="37"/>
        <v>1</v>
      </c>
      <c r="R38" s="16" t="b">
        <f t="shared" si="37"/>
        <v>1</v>
      </c>
      <c r="S38" s="17">
        <f t="shared" si="3"/>
        <v>196</v>
      </c>
      <c r="T38" s="18">
        <f t="shared" si="4"/>
        <v>4.967516089</v>
      </c>
      <c r="U38" s="8"/>
      <c r="V38" s="8"/>
      <c r="W38" s="2"/>
      <c r="X38" s="2"/>
      <c r="Y38" s="2"/>
      <c r="Z38" s="2"/>
      <c r="AA38" s="2"/>
      <c r="AB38" s="2"/>
      <c r="AC38" s="2"/>
    </row>
    <row r="39">
      <c r="A39" s="15">
        <v>31485.0</v>
      </c>
      <c r="B39" s="15">
        <v>241.0</v>
      </c>
      <c r="C39" s="15">
        <v>41.0</v>
      </c>
      <c r="D39" s="15">
        <v>53.0</v>
      </c>
      <c r="E39" s="15">
        <v>91.0</v>
      </c>
      <c r="F39" s="15">
        <v>205.4839</v>
      </c>
      <c r="G39" s="15"/>
      <c r="H39" s="5"/>
      <c r="I39" s="15">
        <v>31485.0</v>
      </c>
      <c r="J39" s="15">
        <v>241.0</v>
      </c>
      <c r="K39" s="15">
        <v>41.0</v>
      </c>
      <c r="L39" s="15">
        <v>53.0</v>
      </c>
      <c r="M39" s="15">
        <v>91.0</v>
      </c>
      <c r="N39" s="15">
        <v>31.03027</v>
      </c>
      <c r="O39" s="2"/>
      <c r="P39" s="16" t="b">
        <f t="shared" ref="P39:R39" si="38">C39=K39</f>
        <v>1</v>
      </c>
      <c r="Q39" s="16" t="b">
        <f t="shared" si="38"/>
        <v>1</v>
      </c>
      <c r="R39" s="16" t="b">
        <f t="shared" si="38"/>
        <v>1</v>
      </c>
      <c r="S39" s="17">
        <f t="shared" si="3"/>
        <v>241</v>
      </c>
      <c r="T39" s="18">
        <f t="shared" si="4"/>
        <v>6.622046795</v>
      </c>
      <c r="U39" s="8"/>
      <c r="V39" s="8"/>
      <c r="W39" s="2"/>
      <c r="X39" s="2"/>
      <c r="Y39" s="2"/>
      <c r="Z39" s="2"/>
      <c r="AA39" s="2"/>
      <c r="AB39" s="2"/>
      <c r="AC39" s="2"/>
    </row>
    <row r="40">
      <c r="A40" s="15">
        <v>31486.0</v>
      </c>
      <c r="B40" s="15">
        <v>210.0</v>
      </c>
      <c r="C40" s="15">
        <v>37.0</v>
      </c>
      <c r="D40" s="15">
        <v>50.0</v>
      </c>
      <c r="E40" s="15">
        <v>101.0</v>
      </c>
      <c r="F40" s="15">
        <v>178.9975</v>
      </c>
      <c r="G40" s="15"/>
      <c r="H40" s="5"/>
      <c r="I40" s="15">
        <v>31486.0</v>
      </c>
      <c r="J40" s="15">
        <v>210.0</v>
      </c>
      <c r="K40" s="15">
        <v>37.0</v>
      </c>
      <c r="L40" s="15">
        <v>50.0</v>
      </c>
      <c r="M40" s="15">
        <v>101.0</v>
      </c>
      <c r="N40" s="15">
        <v>30.38925</v>
      </c>
      <c r="O40" s="2"/>
      <c r="P40" s="16" t="b">
        <f t="shared" ref="P40:R40" si="39">C40=K40</f>
        <v>1</v>
      </c>
      <c r="Q40" s="16" t="b">
        <f t="shared" si="39"/>
        <v>1</v>
      </c>
      <c r="R40" s="16" t="b">
        <f t="shared" si="39"/>
        <v>1</v>
      </c>
      <c r="S40" s="17">
        <f t="shared" si="3"/>
        <v>210</v>
      </c>
      <c r="T40" s="18">
        <f t="shared" si="4"/>
        <v>5.890158526</v>
      </c>
      <c r="U40" s="8"/>
      <c r="V40" s="8"/>
      <c r="W40" s="2"/>
      <c r="X40" s="2"/>
      <c r="Y40" s="2"/>
      <c r="Z40" s="2"/>
      <c r="AA40" s="2"/>
      <c r="AB40" s="2"/>
      <c r="AC40" s="2"/>
    </row>
    <row r="41">
      <c r="A41" s="15">
        <v>31487.0</v>
      </c>
      <c r="B41" s="15">
        <v>221.0</v>
      </c>
      <c r="C41" s="15">
        <v>35.0</v>
      </c>
      <c r="D41" s="15">
        <v>19.0</v>
      </c>
      <c r="E41" s="15">
        <v>38.0</v>
      </c>
      <c r="F41" s="15">
        <v>189.7837</v>
      </c>
      <c r="G41" s="15"/>
      <c r="H41" s="5"/>
      <c r="I41" s="15">
        <v>31487.0</v>
      </c>
      <c r="J41" s="15">
        <v>221.0</v>
      </c>
      <c r="K41" s="15">
        <v>35.0</v>
      </c>
      <c r="L41" s="15">
        <v>19.0</v>
      </c>
      <c r="M41" s="15">
        <v>38.0</v>
      </c>
      <c r="N41" s="15">
        <v>25.72979</v>
      </c>
      <c r="O41" s="2"/>
      <c r="P41" s="16" t="b">
        <f t="shared" ref="P41:R41" si="40">C41=K41</f>
        <v>1</v>
      </c>
      <c r="Q41" s="16" t="b">
        <f t="shared" si="40"/>
        <v>1</v>
      </c>
      <c r="R41" s="16" t="b">
        <f t="shared" si="40"/>
        <v>1</v>
      </c>
      <c r="S41" s="17">
        <f t="shared" si="3"/>
        <v>221</v>
      </c>
      <c r="T41" s="18">
        <f t="shared" si="4"/>
        <v>7.376029886</v>
      </c>
      <c r="U41" s="8"/>
      <c r="V41" s="8"/>
      <c r="W41" s="2"/>
      <c r="X41" s="2"/>
      <c r="Y41" s="2"/>
      <c r="Z41" s="2"/>
      <c r="AA41" s="2"/>
      <c r="AB41" s="2"/>
      <c r="AC41" s="2"/>
    </row>
    <row r="42">
      <c r="A42" s="15">
        <v>31488.0</v>
      </c>
      <c r="B42" s="15">
        <v>347.0</v>
      </c>
      <c r="C42" s="15">
        <v>45.0</v>
      </c>
      <c r="D42" s="15">
        <v>21.0</v>
      </c>
      <c r="E42" s="15">
        <v>72.0</v>
      </c>
      <c r="F42" s="15">
        <v>296.2951</v>
      </c>
      <c r="G42" s="15"/>
      <c r="H42" s="5"/>
      <c r="I42" s="15">
        <v>31488.0</v>
      </c>
      <c r="J42" s="15">
        <v>347.0</v>
      </c>
      <c r="K42" s="15">
        <v>45.0</v>
      </c>
      <c r="L42" s="15">
        <v>21.0</v>
      </c>
      <c r="M42" s="15">
        <v>72.0</v>
      </c>
      <c r="N42" s="15">
        <v>36.44496</v>
      </c>
      <c r="O42" s="2"/>
      <c r="P42" s="16" t="b">
        <f t="shared" ref="P42:R42" si="41">C42=K42</f>
        <v>1</v>
      </c>
      <c r="Q42" s="16" t="b">
        <f t="shared" si="41"/>
        <v>1</v>
      </c>
      <c r="R42" s="16" t="b">
        <f t="shared" si="41"/>
        <v>1</v>
      </c>
      <c r="S42" s="17">
        <f t="shared" si="3"/>
        <v>347</v>
      </c>
      <c r="T42" s="18">
        <f t="shared" si="4"/>
        <v>8.129933467</v>
      </c>
      <c r="U42" s="8"/>
      <c r="V42" s="8"/>
      <c r="W42" s="2"/>
      <c r="X42" s="2"/>
      <c r="Y42" s="2"/>
      <c r="Z42" s="2"/>
      <c r="AA42" s="2"/>
      <c r="AB42" s="2"/>
      <c r="AC42" s="2"/>
    </row>
    <row r="43">
      <c r="A43" s="15">
        <v>31489.0</v>
      </c>
      <c r="B43" s="15">
        <v>139.0</v>
      </c>
      <c r="C43" s="15">
        <v>35.0</v>
      </c>
      <c r="D43" s="15">
        <v>106.0</v>
      </c>
      <c r="E43" s="15">
        <v>133.0</v>
      </c>
      <c r="F43" s="15">
        <v>118.6102</v>
      </c>
      <c r="G43" s="15"/>
      <c r="H43" s="5"/>
      <c r="I43" s="15">
        <v>31489.0</v>
      </c>
      <c r="J43" s="15">
        <v>139.0</v>
      </c>
      <c r="K43" s="15">
        <v>35.0</v>
      </c>
      <c r="L43" s="15">
        <v>106.0</v>
      </c>
      <c r="M43" s="15">
        <v>133.0</v>
      </c>
      <c r="N43" s="15">
        <v>23.12314</v>
      </c>
      <c r="O43" s="2"/>
      <c r="P43" s="16" t="b">
        <f t="shared" ref="P43:R43" si="42">C43=K43</f>
        <v>1</v>
      </c>
      <c r="Q43" s="16" t="b">
        <f t="shared" si="42"/>
        <v>1</v>
      </c>
      <c r="R43" s="16" t="b">
        <f t="shared" si="42"/>
        <v>1</v>
      </c>
      <c r="S43" s="17">
        <f t="shared" si="3"/>
        <v>139</v>
      </c>
      <c r="T43" s="18">
        <f t="shared" si="4"/>
        <v>5.129502308</v>
      </c>
      <c r="U43" s="8"/>
      <c r="V43" s="8"/>
      <c r="W43" s="2"/>
      <c r="X43" s="2"/>
      <c r="Y43" s="2"/>
      <c r="Z43" s="2"/>
      <c r="AA43" s="2"/>
      <c r="AB43" s="2"/>
      <c r="AC43" s="2"/>
    </row>
    <row r="44">
      <c r="A44" s="15">
        <v>31490.0</v>
      </c>
      <c r="B44" s="15">
        <v>427.0</v>
      </c>
      <c r="C44" s="15">
        <v>42.0</v>
      </c>
      <c r="D44" s="15">
        <v>260.0</v>
      </c>
      <c r="E44" s="15">
        <v>291.0</v>
      </c>
      <c r="F44" s="15">
        <v>358.8782</v>
      </c>
      <c r="G44" s="15"/>
      <c r="H44" s="5"/>
      <c r="I44" s="15">
        <v>31490.0</v>
      </c>
      <c r="J44" s="15">
        <v>427.0</v>
      </c>
      <c r="K44" s="15">
        <v>42.0</v>
      </c>
      <c r="L44" s="15">
        <v>260.0</v>
      </c>
      <c r="M44" s="15">
        <v>291.0</v>
      </c>
      <c r="N44" s="15">
        <v>31.55767</v>
      </c>
      <c r="O44" s="2"/>
      <c r="P44" s="16" t="b">
        <f t="shared" ref="P44:R44" si="43">C44=K44</f>
        <v>1</v>
      </c>
      <c r="Q44" s="16" t="b">
        <f t="shared" si="43"/>
        <v>1</v>
      </c>
      <c r="R44" s="16" t="b">
        <f t="shared" si="43"/>
        <v>1</v>
      </c>
      <c r="S44" s="17">
        <f t="shared" si="3"/>
        <v>427</v>
      </c>
      <c r="T44" s="18">
        <f t="shared" si="4"/>
        <v>11.37213869</v>
      </c>
      <c r="U44" s="8"/>
      <c r="V44" s="8"/>
      <c r="W44" s="2"/>
      <c r="X44" s="2"/>
      <c r="Y44" s="2"/>
      <c r="Z44" s="2"/>
      <c r="AA44" s="2"/>
      <c r="AB44" s="2"/>
      <c r="AC44" s="2"/>
    </row>
    <row r="45">
      <c r="A45" s="15">
        <v>31491.0</v>
      </c>
      <c r="B45" s="15">
        <v>536.0</v>
      </c>
      <c r="C45" s="15">
        <v>45.0</v>
      </c>
      <c r="D45" s="15">
        <v>134.0</v>
      </c>
      <c r="E45" s="15">
        <v>184.0</v>
      </c>
      <c r="F45" s="15">
        <v>459.5421</v>
      </c>
      <c r="G45" s="15"/>
      <c r="H45" s="5"/>
      <c r="I45" s="15">
        <v>31491.0</v>
      </c>
      <c r="J45" s="15">
        <v>536.0</v>
      </c>
      <c r="K45" s="15">
        <v>45.0</v>
      </c>
      <c r="L45" s="15">
        <v>134.0</v>
      </c>
      <c r="M45" s="15">
        <v>184.0</v>
      </c>
      <c r="N45" s="15">
        <v>39.86637</v>
      </c>
      <c r="O45" s="2"/>
      <c r="P45" s="16" t="b">
        <f t="shared" ref="P45:R45" si="44">C45=K45</f>
        <v>1</v>
      </c>
      <c r="Q45" s="16" t="b">
        <f t="shared" si="44"/>
        <v>1</v>
      </c>
      <c r="R45" s="16" t="b">
        <f t="shared" si="44"/>
        <v>1</v>
      </c>
      <c r="S45" s="17">
        <f t="shared" si="3"/>
        <v>536</v>
      </c>
      <c r="T45" s="18">
        <f t="shared" si="4"/>
        <v>11.52706153</v>
      </c>
      <c r="U45" s="8"/>
      <c r="V45" s="8"/>
      <c r="W45" s="2"/>
      <c r="X45" s="2"/>
      <c r="Y45" s="2"/>
      <c r="Z45" s="2"/>
      <c r="AA45" s="2"/>
      <c r="AB45" s="2"/>
      <c r="AC45" s="2"/>
    </row>
    <row r="46">
      <c r="A46" s="15">
        <v>31492.0</v>
      </c>
      <c r="B46" s="15">
        <v>373.0</v>
      </c>
      <c r="C46" s="15">
        <v>49.0</v>
      </c>
      <c r="D46" s="15">
        <v>5.0</v>
      </c>
      <c r="E46" s="15">
        <v>45.0</v>
      </c>
      <c r="F46" s="15">
        <v>312.646</v>
      </c>
      <c r="G46" s="15"/>
      <c r="H46" s="5"/>
      <c r="I46" s="15">
        <v>31492.0</v>
      </c>
      <c r="J46" s="15">
        <v>373.0</v>
      </c>
      <c r="K46" s="15">
        <v>49.0</v>
      </c>
      <c r="L46" s="15">
        <v>5.0</v>
      </c>
      <c r="M46" s="15">
        <v>45.0</v>
      </c>
      <c r="N46" s="15">
        <v>36.77901</v>
      </c>
      <c r="O46" s="2"/>
      <c r="P46" s="16" t="b">
        <f t="shared" ref="P46:R46" si="45">C46=K46</f>
        <v>1</v>
      </c>
      <c r="Q46" s="16" t="b">
        <f t="shared" si="45"/>
        <v>1</v>
      </c>
      <c r="R46" s="16" t="b">
        <f t="shared" si="45"/>
        <v>1</v>
      </c>
      <c r="S46" s="17">
        <f t="shared" si="3"/>
        <v>373</v>
      </c>
      <c r="T46" s="18">
        <f t="shared" si="4"/>
        <v>8.50066383</v>
      </c>
      <c r="U46" s="8"/>
      <c r="V46" s="8"/>
      <c r="W46" s="2"/>
      <c r="X46" s="2"/>
      <c r="Y46" s="2"/>
      <c r="Z46" s="2"/>
      <c r="AA46" s="2"/>
      <c r="AB46" s="2"/>
      <c r="AC46" s="2"/>
    </row>
    <row r="47">
      <c r="A47" s="15">
        <v>31493.0</v>
      </c>
      <c r="B47" s="15">
        <v>747.0</v>
      </c>
      <c r="C47" s="15">
        <v>54.0</v>
      </c>
      <c r="D47" s="15">
        <v>586.0</v>
      </c>
      <c r="E47" s="15">
        <v>638.0</v>
      </c>
      <c r="F47" s="15">
        <v>626.7925</v>
      </c>
      <c r="G47" s="15"/>
      <c r="H47" s="5"/>
      <c r="I47" s="15">
        <v>31493.0</v>
      </c>
      <c r="J47" s="15">
        <v>747.0</v>
      </c>
      <c r="K47" s="15">
        <v>54.0</v>
      </c>
      <c r="L47" s="15">
        <v>586.0</v>
      </c>
      <c r="M47" s="15">
        <v>638.0</v>
      </c>
      <c r="N47" s="15">
        <v>45.26096</v>
      </c>
      <c r="O47" s="2"/>
      <c r="P47" s="16" t="b">
        <f t="shared" ref="P47:R47" si="46">C47=K47</f>
        <v>1</v>
      </c>
      <c r="Q47" s="16" t="b">
        <f t="shared" si="46"/>
        <v>1</v>
      </c>
      <c r="R47" s="16" t="b">
        <f t="shared" si="46"/>
        <v>1</v>
      </c>
      <c r="S47" s="17">
        <f t="shared" si="3"/>
        <v>747</v>
      </c>
      <c r="T47" s="18">
        <f t="shared" si="4"/>
        <v>13.84841373</v>
      </c>
      <c r="U47" s="8"/>
      <c r="V47" s="8"/>
      <c r="W47" s="2"/>
      <c r="X47" s="2"/>
      <c r="Y47" s="2"/>
      <c r="Z47" s="2"/>
      <c r="AA47" s="2"/>
      <c r="AB47" s="2"/>
      <c r="AC47" s="2"/>
    </row>
    <row r="48">
      <c r="A48" s="15">
        <v>31494.0</v>
      </c>
      <c r="B48" s="15">
        <v>325.0</v>
      </c>
      <c r="C48" s="15">
        <v>52.0</v>
      </c>
      <c r="D48" s="15">
        <v>22.0</v>
      </c>
      <c r="E48" s="15">
        <v>67.0</v>
      </c>
      <c r="F48" s="15">
        <v>276.1804</v>
      </c>
      <c r="G48" s="15"/>
      <c r="H48" s="5"/>
      <c r="I48" s="15">
        <v>31494.0</v>
      </c>
      <c r="J48" s="15">
        <v>325.0</v>
      </c>
      <c r="K48" s="15">
        <v>52.0</v>
      </c>
      <c r="L48" s="15">
        <v>22.0</v>
      </c>
      <c r="M48" s="15">
        <v>67.0</v>
      </c>
      <c r="N48" s="15">
        <v>33.3783</v>
      </c>
      <c r="O48" s="2"/>
      <c r="P48" s="16" t="b">
        <f t="shared" ref="P48:R48" si="47">C48=K48</f>
        <v>1</v>
      </c>
      <c r="Q48" s="16" t="b">
        <f t="shared" si="47"/>
        <v>1</v>
      </c>
      <c r="R48" s="16" t="b">
        <f t="shared" si="47"/>
        <v>1</v>
      </c>
      <c r="S48" s="17">
        <f t="shared" si="3"/>
        <v>325</v>
      </c>
      <c r="T48" s="18">
        <f t="shared" si="4"/>
        <v>8.274250037</v>
      </c>
      <c r="U48" s="8"/>
      <c r="V48" s="8"/>
      <c r="W48" s="2"/>
      <c r="X48" s="2"/>
      <c r="Y48" s="2"/>
      <c r="Z48" s="2"/>
      <c r="AA48" s="2"/>
      <c r="AB48" s="2"/>
      <c r="AC48" s="2"/>
    </row>
    <row r="49">
      <c r="A49" s="15">
        <v>31495.0</v>
      </c>
      <c r="B49" s="15">
        <v>358.0</v>
      </c>
      <c r="C49" s="15">
        <v>55.0</v>
      </c>
      <c r="D49" s="15">
        <v>252.0</v>
      </c>
      <c r="E49" s="15">
        <v>293.0</v>
      </c>
      <c r="F49" s="15">
        <v>301.4707</v>
      </c>
      <c r="G49" s="15"/>
      <c r="H49" s="5"/>
      <c r="I49" s="15">
        <v>31495.0</v>
      </c>
      <c r="J49" s="15">
        <v>358.0</v>
      </c>
      <c r="K49" s="15">
        <v>55.0</v>
      </c>
      <c r="L49" s="15">
        <v>252.0</v>
      </c>
      <c r="M49" s="15">
        <v>293.0</v>
      </c>
      <c r="N49" s="15">
        <v>34.08496</v>
      </c>
      <c r="O49" s="2"/>
      <c r="P49" s="16" t="b">
        <f t="shared" ref="P49:R49" si="48">C49=K49</f>
        <v>1</v>
      </c>
      <c r="Q49" s="16" t="b">
        <f t="shared" si="48"/>
        <v>1</v>
      </c>
      <c r="R49" s="16" t="b">
        <f t="shared" si="48"/>
        <v>1</v>
      </c>
      <c r="S49" s="17">
        <f t="shared" si="3"/>
        <v>358</v>
      </c>
      <c r="T49" s="18">
        <f t="shared" si="4"/>
        <v>8.84468399</v>
      </c>
      <c r="U49" s="8"/>
      <c r="V49" s="8"/>
      <c r="W49" s="2"/>
      <c r="X49" s="2"/>
      <c r="Y49" s="2"/>
      <c r="Z49" s="2"/>
      <c r="AA49" s="2"/>
      <c r="AB49" s="2"/>
      <c r="AC49" s="2"/>
    </row>
    <row r="50">
      <c r="A50" s="15">
        <v>31496.0</v>
      </c>
      <c r="B50" s="15">
        <v>247.0</v>
      </c>
      <c r="C50" s="15">
        <v>51.0</v>
      </c>
      <c r="D50" s="15">
        <v>10.0</v>
      </c>
      <c r="E50" s="15">
        <v>55.0</v>
      </c>
      <c r="F50" s="15">
        <v>209.1097</v>
      </c>
      <c r="G50" s="15"/>
      <c r="H50" s="5"/>
      <c r="I50" s="15">
        <v>31496.0</v>
      </c>
      <c r="J50" s="15">
        <v>247.0</v>
      </c>
      <c r="K50" s="15">
        <v>51.0</v>
      </c>
      <c r="L50" s="15">
        <v>10.0</v>
      </c>
      <c r="M50" s="15">
        <v>55.0</v>
      </c>
      <c r="N50" s="15">
        <v>31.80154</v>
      </c>
      <c r="O50" s="2"/>
      <c r="P50" s="16" t="b">
        <f t="shared" ref="P50:R50" si="49">C50=K50</f>
        <v>1</v>
      </c>
      <c r="Q50" s="16" t="b">
        <f t="shared" si="49"/>
        <v>1</v>
      </c>
      <c r="R50" s="16" t="b">
        <f t="shared" si="49"/>
        <v>1</v>
      </c>
      <c r="S50" s="17">
        <f t="shared" si="3"/>
        <v>247</v>
      </c>
      <c r="T50" s="18">
        <f t="shared" si="4"/>
        <v>6.575458295</v>
      </c>
      <c r="U50" s="8"/>
      <c r="V50" s="8"/>
      <c r="W50" s="2"/>
      <c r="X50" s="2"/>
      <c r="Y50" s="2"/>
      <c r="Z50" s="2"/>
      <c r="AA50" s="2"/>
      <c r="AB50" s="2"/>
      <c r="AC50" s="2"/>
    </row>
    <row r="51">
      <c r="A51" s="15">
        <v>31497.0</v>
      </c>
      <c r="B51" s="15">
        <v>182.0</v>
      </c>
      <c r="C51" s="15">
        <v>56.0</v>
      </c>
      <c r="D51" s="15">
        <v>131.0</v>
      </c>
      <c r="E51" s="15">
        <v>174.0</v>
      </c>
      <c r="F51" s="15">
        <v>155.8233</v>
      </c>
      <c r="G51" s="15"/>
      <c r="H51" s="5"/>
      <c r="I51" s="15">
        <v>31497.0</v>
      </c>
      <c r="J51" s="15">
        <v>182.0</v>
      </c>
      <c r="K51" s="15">
        <v>56.0</v>
      </c>
      <c r="L51" s="15">
        <v>131.0</v>
      </c>
      <c r="M51" s="15">
        <v>174.0</v>
      </c>
      <c r="N51" s="15">
        <v>28.20096</v>
      </c>
      <c r="O51" s="2"/>
      <c r="P51" s="16" t="b">
        <f t="shared" ref="P51:R51" si="50">C51=K51</f>
        <v>1</v>
      </c>
      <c r="Q51" s="16" t="b">
        <f t="shared" si="50"/>
        <v>1</v>
      </c>
      <c r="R51" s="16" t="b">
        <f t="shared" si="50"/>
        <v>1</v>
      </c>
      <c r="S51" s="17">
        <f t="shared" si="3"/>
        <v>182</v>
      </c>
      <c r="T51" s="18">
        <f t="shared" si="4"/>
        <v>5.525460835</v>
      </c>
      <c r="U51" s="8"/>
      <c r="V51" s="8"/>
      <c r="W51" s="2"/>
      <c r="X51" s="2"/>
      <c r="Y51" s="2"/>
      <c r="Z51" s="2"/>
      <c r="AA51" s="2"/>
      <c r="AB51" s="2"/>
      <c r="AC51" s="2"/>
    </row>
    <row r="52">
      <c r="A52" s="15">
        <v>31498.0</v>
      </c>
      <c r="B52" s="15">
        <v>302.0</v>
      </c>
      <c r="C52" s="15">
        <v>48.0</v>
      </c>
      <c r="D52" s="15">
        <v>5.0</v>
      </c>
      <c r="E52" s="15">
        <v>34.0</v>
      </c>
      <c r="F52" s="15">
        <v>257.5652</v>
      </c>
      <c r="G52" s="15"/>
      <c r="H52" s="5"/>
      <c r="I52" s="15">
        <v>31498.0</v>
      </c>
      <c r="J52" s="15">
        <v>302.0</v>
      </c>
      <c r="K52" s="15">
        <v>48.0</v>
      </c>
      <c r="L52" s="15">
        <v>5.0</v>
      </c>
      <c r="M52" s="15">
        <v>34.0</v>
      </c>
      <c r="N52" s="15">
        <v>27.8825</v>
      </c>
      <c r="O52" s="2"/>
      <c r="P52" s="16" t="b">
        <f t="shared" ref="P52:R52" si="51">C52=K52</f>
        <v>1</v>
      </c>
      <c r="Q52" s="16" t="b">
        <f t="shared" si="51"/>
        <v>1</v>
      </c>
      <c r="R52" s="16" t="b">
        <f t="shared" si="51"/>
        <v>1</v>
      </c>
      <c r="S52" s="17">
        <f t="shared" si="3"/>
        <v>302</v>
      </c>
      <c r="T52" s="18">
        <f t="shared" si="4"/>
        <v>9.237521743</v>
      </c>
      <c r="U52" s="8"/>
      <c r="V52" s="8"/>
      <c r="W52" s="2"/>
      <c r="X52" s="2"/>
      <c r="Y52" s="2"/>
      <c r="Z52" s="2"/>
      <c r="AA52" s="2"/>
      <c r="AB52" s="2"/>
      <c r="AC52" s="2"/>
    </row>
    <row r="53">
      <c r="A53" s="15">
        <v>31499.0</v>
      </c>
      <c r="B53" s="15">
        <v>90.0</v>
      </c>
      <c r="C53" s="15">
        <v>41.0</v>
      </c>
      <c r="D53" s="15">
        <v>18.0</v>
      </c>
      <c r="E53" s="15">
        <v>66.0</v>
      </c>
      <c r="F53" s="15">
        <v>75.4979</v>
      </c>
      <c r="G53" s="15"/>
      <c r="H53" s="5"/>
      <c r="I53" s="15">
        <v>31499.0</v>
      </c>
      <c r="J53" s="15">
        <v>90.0</v>
      </c>
      <c r="K53" s="15">
        <v>41.0</v>
      </c>
      <c r="L53" s="15">
        <v>18.0</v>
      </c>
      <c r="M53" s="15">
        <v>66.0</v>
      </c>
      <c r="N53" s="15">
        <v>27.648</v>
      </c>
      <c r="O53" s="2"/>
      <c r="P53" s="16" t="b">
        <f t="shared" ref="P53:R53" si="52">C53=K53</f>
        <v>1</v>
      </c>
      <c r="Q53" s="16" t="b">
        <f t="shared" si="52"/>
        <v>1</v>
      </c>
      <c r="R53" s="16" t="b">
        <f t="shared" si="52"/>
        <v>1</v>
      </c>
      <c r="S53" s="17">
        <f t="shared" si="3"/>
        <v>90</v>
      </c>
      <c r="T53" s="18">
        <f t="shared" si="4"/>
        <v>2.730682147</v>
      </c>
      <c r="U53" s="8"/>
      <c r="V53" s="8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5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5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5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5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5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5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5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5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5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5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5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5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5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5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5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5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5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5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5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5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5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5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5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5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5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5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5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5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5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5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5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5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5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5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5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5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5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5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5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5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5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5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5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5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5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5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5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5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5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5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5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5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5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5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5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5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5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5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5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5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5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5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5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5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5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5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5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5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5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5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5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5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5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5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5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5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5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5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5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5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5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5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5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5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5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5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5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5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5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5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5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5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5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5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5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5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5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5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5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5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5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5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5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5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5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5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5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5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5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5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5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5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5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5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5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5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5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5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5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5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5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5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5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5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5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5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5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5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5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5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5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5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5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5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5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5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5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5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5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5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5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5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5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5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5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5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5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5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5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5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5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5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5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5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5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5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5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5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5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5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5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5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5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5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5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5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5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5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5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5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5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5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5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5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5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5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5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5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5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5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5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5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5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5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5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5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5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5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5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5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5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5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5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5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5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5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5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5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5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5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5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5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5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5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5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5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5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5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5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5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5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5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5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5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5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5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5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5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5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5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5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5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5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5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5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5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5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5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5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5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5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5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5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5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5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5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5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5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5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5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5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5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5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5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5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5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5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5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5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5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5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5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5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5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5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5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5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5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5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5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5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5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5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5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5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5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5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5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5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5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5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5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5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5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5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5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5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5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5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5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5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5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5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5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5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5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5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5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5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5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5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5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5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5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5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5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5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5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5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5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5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5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5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5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5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5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5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5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5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5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5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5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5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5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5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5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5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5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5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5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5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5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5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5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5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5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5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5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5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5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5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5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5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5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5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5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5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5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5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5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5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5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5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5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5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5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5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5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5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5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5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5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5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5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5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5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5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5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5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5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5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5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5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5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5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5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5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5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5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5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5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5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5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5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5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5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5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5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5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5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5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5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5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5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5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5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5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5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5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5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5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5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5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5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5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5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5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5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5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5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5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5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5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5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5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5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5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5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5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5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5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5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5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5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5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5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5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5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5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5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5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5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5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5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5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5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5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5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5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5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5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5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5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5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5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5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5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5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5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5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5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5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5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5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5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5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5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5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5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5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5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5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5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5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5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5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5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5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5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5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5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5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5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5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5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5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5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5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5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5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5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5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5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5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5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5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5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5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5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5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5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5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5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5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5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5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5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5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5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5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5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5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5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5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5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5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5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5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5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5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5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5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5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5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5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5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5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5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5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5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5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5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5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5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5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5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5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5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5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5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5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5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5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5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5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5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5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5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5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5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5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5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5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5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5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5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5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5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5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5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5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5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5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5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5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5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5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5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5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5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5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5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5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5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5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5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5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5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5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5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5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5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5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5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5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5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5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5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5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5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5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5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5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5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5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5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5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5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5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5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5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5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5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5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5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5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5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5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5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5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5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5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5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5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5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5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5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5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5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5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5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5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5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5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5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5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5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5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5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5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5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5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5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5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5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5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5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5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5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5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5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5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5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5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5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5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5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5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5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5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5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5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5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5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5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5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5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5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5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5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5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5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5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5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5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5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5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5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5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5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5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5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5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5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5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5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5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5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5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5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5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5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5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5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5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5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5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5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5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5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5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5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5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5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5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5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5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5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5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5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5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5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5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5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5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5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5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5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5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5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5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5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5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5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5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5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5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5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5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5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5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5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5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5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5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5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5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5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5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5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5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5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5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5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5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5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5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5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5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5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5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5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5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5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5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5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5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5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5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5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5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5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5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5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5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O1"/>
    <mergeCell ref="A2:G2"/>
    <mergeCell ref="I2:O2"/>
    <mergeCell ref="P2:R2"/>
    <mergeCell ref="T2:V2"/>
  </mergeCells>
  <drawing r:id="rId1"/>
</worksheet>
</file>